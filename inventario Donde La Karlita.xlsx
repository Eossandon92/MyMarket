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a.astroza\Downloads\"/>
    </mc:Choice>
  </mc:AlternateContent>
  <xr:revisionPtr revIDLastSave="0" documentId="13_ncr:1_{9336A7F8-C0F8-4A07-A124-D45DB8248802}" xr6:coauthVersionLast="47" xr6:coauthVersionMax="47" xr10:uidLastSave="{00000000-0000-0000-0000-000000000000}"/>
  <bookViews>
    <workbookView xWindow="28680" yWindow="-120" windowWidth="29040" windowHeight="15720" activeTab="3" xr2:uid="{77018C57-106A-4FB2-8917-18A171AD1D0D}"/>
  </bookViews>
  <sheets>
    <sheet name="BASE DE DATOS DE PRODUCTOS" sheetId="1" r:id="rId1"/>
    <sheet name="Hoja1" sheetId="6" r:id="rId2"/>
    <sheet name="PARAMETROS" sheetId="2" r:id="rId3"/>
    <sheet name="INVENTARIO" sheetId="3" r:id="rId4"/>
    <sheet name="COMPRAS" sheetId="4" r:id="rId5"/>
    <sheet name="VENTAS" sheetId="5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2" i="3" l="1"/>
  <c r="K7" i="3"/>
  <c r="F40" i="3"/>
  <c r="F103" i="3"/>
  <c r="B125" i="3"/>
  <c r="C125" i="3"/>
  <c r="I125" i="3"/>
  <c r="B112" i="3"/>
  <c r="K125" i="3" l="1"/>
  <c r="F125" i="3"/>
  <c r="J125" i="3" s="1"/>
  <c r="B124" i="3"/>
  <c r="C124" i="3"/>
  <c r="F124" i="3"/>
  <c r="J124" i="3" s="1"/>
  <c r="I124" i="3"/>
  <c r="K124" i="3" s="1"/>
  <c r="D82" i="3"/>
  <c r="B84" i="3"/>
  <c r="B123" i="3"/>
  <c r="C123" i="3"/>
  <c r="I123" i="3"/>
  <c r="K123" i="3" s="1"/>
  <c r="B122" i="3"/>
  <c r="C122" i="3"/>
  <c r="F122" i="3"/>
  <c r="J122" i="3" s="1"/>
  <c r="I122" i="3"/>
  <c r="K122" i="3" s="1"/>
  <c r="F74" i="3"/>
  <c r="F52" i="3"/>
  <c r="B121" i="3"/>
  <c r="C121" i="3"/>
  <c r="I121" i="3"/>
  <c r="K121" i="3" s="1"/>
  <c r="B120" i="3"/>
  <c r="C120" i="3"/>
  <c r="I120" i="3"/>
  <c r="K120" i="3" s="1"/>
  <c r="B119" i="3"/>
  <c r="C119" i="3"/>
  <c r="D119" i="3" a="1"/>
  <c r="D119" i="3" s="1"/>
  <c r="E119" i="3" a="1"/>
  <c r="E119" i="3" s="1"/>
  <c r="I119" i="3"/>
  <c r="K119" i="3" s="1"/>
  <c r="B118" i="3"/>
  <c r="C118" i="3"/>
  <c r="D118" i="3" a="1"/>
  <c r="D118" i="3" s="1"/>
  <c r="E118" i="3" a="1"/>
  <c r="E118" i="3" s="1"/>
  <c r="I118" i="3"/>
  <c r="K118" i="3" s="1"/>
  <c r="B117" i="3"/>
  <c r="C117" i="3"/>
  <c r="D117" i="3" a="1"/>
  <c r="D117" i="3" s="1"/>
  <c r="E117" i="3" a="1"/>
  <c r="E117" i="3" s="1"/>
  <c r="I117" i="3"/>
  <c r="K117" i="3" s="1"/>
  <c r="B116" i="3"/>
  <c r="C116" i="3"/>
  <c r="D116" i="3" a="1"/>
  <c r="D116" i="3" s="1"/>
  <c r="E116" i="3" a="1"/>
  <c r="E116" i="3" s="1"/>
  <c r="I116" i="3"/>
  <c r="K116" i="3" s="1"/>
  <c r="B115" i="3"/>
  <c r="C115" i="3"/>
  <c r="I115" i="3"/>
  <c r="K115" i="3" s="1"/>
  <c r="B114" i="3"/>
  <c r="C114" i="3"/>
  <c r="D114" i="3" a="1"/>
  <c r="D114" i="3" s="1"/>
  <c r="E114" i="3" a="1"/>
  <c r="E114" i="3" s="1"/>
  <c r="I114" i="3"/>
  <c r="K114" i="3" s="1"/>
  <c r="B113" i="3"/>
  <c r="C113" i="3"/>
  <c r="I113" i="3"/>
  <c r="K113" i="3" s="1"/>
  <c r="C112" i="3"/>
  <c r="I112" i="3"/>
  <c r="K112" i="3" s="1"/>
  <c r="B111" i="3"/>
  <c r="C111" i="3"/>
  <c r="I111" i="3"/>
  <c r="K111" i="3" s="1"/>
  <c r="B110" i="3"/>
  <c r="C110" i="3"/>
  <c r="D110" i="3" a="1"/>
  <c r="D110" i="3" s="1"/>
  <c r="E110" i="3" a="1"/>
  <c r="E110" i="3" s="1"/>
  <c r="I110" i="3"/>
  <c r="K110" i="3" s="1"/>
  <c r="B109" i="3"/>
  <c r="C109" i="3"/>
  <c r="D109" i="3" a="1"/>
  <c r="D109" i="3" s="1"/>
  <c r="E109" i="3" a="1"/>
  <c r="E109" i="3" s="1"/>
  <c r="I109" i="3"/>
  <c r="K109" i="3" s="1"/>
  <c r="B108" i="3"/>
  <c r="C108" i="3"/>
  <c r="D108" i="3" a="1"/>
  <c r="D108" i="3" s="1"/>
  <c r="E108" i="3" a="1"/>
  <c r="E108" i="3" s="1"/>
  <c r="I108" i="3"/>
  <c r="K108" i="3" s="1"/>
  <c r="B107" i="3"/>
  <c r="C107" i="3"/>
  <c r="I107" i="3"/>
  <c r="K107" i="3" s="1"/>
  <c r="B106" i="3"/>
  <c r="C106" i="3"/>
  <c r="I106" i="3"/>
  <c r="K106" i="3" s="1"/>
  <c r="B105" i="3"/>
  <c r="C105" i="3"/>
  <c r="E105" i="3" a="1"/>
  <c r="E105" i="3" s="1"/>
  <c r="I105" i="3"/>
  <c r="K105" i="3" s="1"/>
  <c r="B104" i="3"/>
  <c r="C104" i="3"/>
  <c r="I104" i="3"/>
  <c r="K104" i="3" s="1"/>
  <c r="B103" i="3"/>
  <c r="C103" i="3"/>
  <c r="I103" i="3"/>
  <c r="K103" i="3" s="1"/>
  <c r="B102" i="3"/>
  <c r="C102" i="3"/>
  <c r="I102" i="3"/>
  <c r="K102" i="3" s="1"/>
  <c r="B101" i="3"/>
  <c r="C101" i="3"/>
  <c r="I101" i="3"/>
  <c r="K101" i="3" s="1"/>
  <c r="B100" i="3"/>
  <c r="C100" i="3"/>
  <c r="I100" i="3"/>
  <c r="K100" i="3" s="1"/>
  <c r="B99" i="3"/>
  <c r="C99" i="3"/>
  <c r="I99" i="3"/>
  <c r="K99" i="3" s="1"/>
  <c r="B98" i="3"/>
  <c r="C98" i="3"/>
  <c r="I98" i="3"/>
  <c r="K98" i="3" s="1"/>
  <c r="B97" i="3"/>
  <c r="C97" i="3"/>
  <c r="I97" i="3"/>
  <c r="K97" i="3" s="1"/>
  <c r="B96" i="3"/>
  <c r="C96" i="3"/>
  <c r="I96" i="3"/>
  <c r="K96" i="3" s="1"/>
  <c r="B95" i="3"/>
  <c r="C95" i="3"/>
  <c r="D95" i="3" a="1"/>
  <c r="D95" i="3" s="1"/>
  <c r="E95" i="3" a="1"/>
  <c r="E95" i="3" s="1"/>
  <c r="I95" i="3"/>
  <c r="K95" i="3" s="1"/>
  <c r="B94" i="3"/>
  <c r="C94" i="3"/>
  <c r="E94" i="3" a="1"/>
  <c r="E94" i="3" s="1"/>
  <c r="I94" i="3"/>
  <c r="K94" i="3" s="1"/>
  <c r="B93" i="3"/>
  <c r="C93" i="3"/>
  <c r="D93" i="3" a="1"/>
  <c r="D93" i="3" s="1"/>
  <c r="E93" i="3" a="1"/>
  <c r="E93" i="3" s="1"/>
  <c r="I93" i="3"/>
  <c r="K93" i="3" s="1"/>
  <c r="B92" i="3"/>
  <c r="C92" i="3"/>
  <c r="E92" i="3" a="1"/>
  <c r="E92" i="3" s="1"/>
  <c r="I92" i="3"/>
  <c r="K92" i="3" s="1"/>
  <c r="B91" i="3"/>
  <c r="C91" i="3"/>
  <c r="I91" i="3"/>
  <c r="K91" i="3" s="1"/>
  <c r="B90" i="3"/>
  <c r="C90" i="3"/>
  <c r="I90" i="3"/>
  <c r="K90" i="3" s="1"/>
  <c r="B89" i="3"/>
  <c r="C89" i="3"/>
  <c r="D89" i="3" a="1"/>
  <c r="D89" i="3" s="1"/>
  <c r="E89" i="3" a="1"/>
  <c r="E89" i="3" s="1"/>
  <c r="I89" i="3"/>
  <c r="K89" i="3" s="1"/>
  <c r="B88" i="3"/>
  <c r="C88" i="3"/>
  <c r="D88" i="3" a="1"/>
  <c r="D88" i="3" s="1"/>
  <c r="E88" i="3" a="1"/>
  <c r="E88" i="3" s="1"/>
  <c r="I88" i="3"/>
  <c r="K88" i="3" s="1"/>
  <c r="B87" i="3"/>
  <c r="C87" i="3"/>
  <c r="I87" i="3"/>
  <c r="K87" i="3" s="1"/>
  <c r="B86" i="3"/>
  <c r="C86" i="3"/>
  <c r="E86" i="3" a="1"/>
  <c r="E86" i="3" s="1"/>
  <c r="I86" i="3"/>
  <c r="K86" i="3" s="1"/>
  <c r="B85" i="3"/>
  <c r="C85" i="3"/>
  <c r="E85" i="3" a="1"/>
  <c r="E85" i="3" s="1"/>
  <c r="I85" i="3"/>
  <c r="K85" i="3" s="1"/>
  <c r="C84" i="3"/>
  <c r="E84" i="3" a="1"/>
  <c r="E84" i="3" s="1"/>
  <c r="I84" i="3"/>
  <c r="K84" i="3" s="1"/>
  <c r="B83" i="3"/>
  <c r="C83" i="3"/>
  <c r="E83" i="3" a="1"/>
  <c r="E83" i="3" s="1"/>
  <c r="I83" i="3"/>
  <c r="K83" i="3" s="1"/>
  <c r="B82" i="3"/>
  <c r="C82" i="3"/>
  <c r="I82" i="3"/>
  <c r="K82" i="3" s="1"/>
  <c r="B81" i="3"/>
  <c r="C81" i="3"/>
  <c r="D81" i="3" a="1"/>
  <c r="D81" i="3" s="1"/>
  <c r="E81" i="3" a="1"/>
  <c r="E81" i="3" s="1"/>
  <c r="I81" i="3"/>
  <c r="K81" i="3" s="1"/>
  <c r="B80" i="3"/>
  <c r="C80" i="3"/>
  <c r="D80" i="3" a="1"/>
  <c r="D80" i="3" s="1"/>
  <c r="E80" i="3" a="1"/>
  <c r="E80" i="3" s="1"/>
  <c r="I80" i="3"/>
  <c r="K80" i="3" s="1"/>
  <c r="B79" i="3"/>
  <c r="C79" i="3"/>
  <c r="I79" i="3"/>
  <c r="K79" i="3" s="1"/>
  <c r="B78" i="3"/>
  <c r="C78" i="3"/>
  <c r="D78" i="3" a="1"/>
  <c r="D78" i="3" s="1"/>
  <c r="E78" i="3" a="1"/>
  <c r="E78" i="3" s="1"/>
  <c r="I78" i="3"/>
  <c r="K78" i="3" s="1"/>
  <c r="B77" i="3"/>
  <c r="C77" i="3"/>
  <c r="I77" i="3"/>
  <c r="K77" i="3" s="1"/>
  <c r="B76" i="3"/>
  <c r="C76" i="3"/>
  <c r="I76" i="3"/>
  <c r="K76" i="3" s="1"/>
  <c r="B75" i="3"/>
  <c r="C75" i="3"/>
  <c r="E75" i="3" a="1"/>
  <c r="E75" i="3" s="1"/>
  <c r="I75" i="3"/>
  <c r="K75" i="3" s="1"/>
  <c r="B74" i="3"/>
  <c r="C74" i="3"/>
  <c r="I74" i="3"/>
  <c r="K74" i="3" s="1"/>
  <c r="B73" i="3"/>
  <c r="C73" i="3"/>
  <c r="I73" i="3"/>
  <c r="K73" i="3" s="1"/>
  <c r="B72" i="3"/>
  <c r="C72" i="3"/>
  <c r="E72" i="3" a="1"/>
  <c r="E72" i="3" s="1"/>
  <c r="I72" i="3"/>
  <c r="K72" i="3" s="1"/>
  <c r="B71" i="3"/>
  <c r="C71" i="3"/>
  <c r="I71" i="3"/>
  <c r="K71" i="3" s="1"/>
  <c r="B70" i="3"/>
  <c r="C70" i="3"/>
  <c r="I70" i="3"/>
  <c r="K70" i="3" s="1"/>
  <c r="B69" i="3"/>
  <c r="C69" i="3"/>
  <c r="I69" i="3"/>
  <c r="K69" i="3" s="1"/>
  <c r="B68" i="3"/>
  <c r="C68" i="3"/>
  <c r="I68" i="3"/>
  <c r="K68" i="3" s="1"/>
  <c r="B67" i="3"/>
  <c r="C67" i="3"/>
  <c r="I67" i="3"/>
  <c r="K67" i="3" s="1"/>
  <c r="B66" i="3"/>
  <c r="C66" i="3"/>
  <c r="I66" i="3"/>
  <c r="K66" i="3" s="1"/>
  <c r="B65" i="3"/>
  <c r="C65" i="3"/>
  <c r="D65" i="3" a="1"/>
  <c r="D65" i="3" s="1"/>
  <c r="E65" i="3" a="1"/>
  <c r="E65" i="3" s="1"/>
  <c r="I65" i="3"/>
  <c r="K65" i="3" s="1"/>
  <c r="B64" i="3"/>
  <c r="C64" i="3"/>
  <c r="E64" i="3" a="1"/>
  <c r="E64" i="3" s="1"/>
  <c r="I64" i="3"/>
  <c r="K64" i="3" s="1"/>
  <c r="B31" i="3"/>
  <c r="E31" i="5" s="1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a="1"/>
  <c r="D24" i="5" s="1"/>
  <c r="D25" i="5" a="1"/>
  <c r="D25" i="5" s="1"/>
  <c r="D26" i="5" a="1"/>
  <c r="D26" i="5" s="1"/>
  <c r="D27" i="5" a="1"/>
  <c r="D27" i="5" s="1"/>
  <c r="D28" i="5" a="1"/>
  <c r="D28" i="5" s="1"/>
  <c r="D29" i="5" a="1"/>
  <c r="D29" i="5" s="1"/>
  <c r="D30" i="5" a="1"/>
  <c r="D30" i="5" s="1"/>
  <c r="D31" i="5" a="1"/>
  <c r="D31" i="5" s="1"/>
  <c r="D32" i="5" a="1"/>
  <c r="D32" i="5" s="1"/>
  <c r="D33" i="5" a="1"/>
  <c r="D33" i="5" s="1"/>
  <c r="D34" i="5" a="1"/>
  <c r="D34" i="5" s="1"/>
  <c r="D35" i="5" a="1"/>
  <c r="D35" i="5" s="1"/>
  <c r="D36" i="5" a="1"/>
  <c r="D36" i="5" s="1"/>
  <c r="D37" i="5" a="1"/>
  <c r="D37" i="5" s="1"/>
  <c r="D38" i="5" a="1"/>
  <c r="D38" i="5" s="1"/>
  <c r="D39" i="5" a="1"/>
  <c r="D39" i="5" s="1"/>
  <c r="D40" i="5" a="1"/>
  <c r="D40" i="5" s="1"/>
  <c r="D41" i="5" a="1"/>
  <c r="D41" i="5" s="1"/>
  <c r="D42" i="5" a="1"/>
  <c r="D42" i="5" s="1"/>
  <c r="D43" i="5" a="1"/>
  <c r="D43" i="5" s="1"/>
  <c r="D44" i="5" a="1"/>
  <c r="D44" i="5" s="1"/>
  <c r="D45" i="5" a="1"/>
  <c r="D45" i="5" s="1"/>
  <c r="D46" i="5" a="1"/>
  <c r="D46" i="5" s="1"/>
  <c r="D47" i="5" a="1"/>
  <c r="D47" i="5" s="1"/>
  <c r="D48" i="5" a="1"/>
  <c r="D48" i="5" s="1"/>
  <c r="D49" i="5" a="1"/>
  <c r="D49" i="5" s="1"/>
  <c r="D50" i="5" a="1"/>
  <c r="D50" i="5" s="1"/>
  <c r="D51" i="5" a="1"/>
  <c r="D51" i="5" s="1"/>
  <c r="D52" i="5" a="1"/>
  <c r="D52" i="5" s="1"/>
  <c r="D53" i="5" a="1"/>
  <c r="D53" i="5" s="1"/>
  <c r="D54" i="5" a="1"/>
  <c r="D54" i="5" s="1"/>
  <c r="D55" i="5" a="1"/>
  <c r="D55" i="5" s="1"/>
  <c r="D56" i="5" a="1"/>
  <c r="D56" i="5" s="1"/>
  <c r="D57" i="5" a="1"/>
  <c r="D57" i="5" s="1"/>
  <c r="D58" i="5" a="1"/>
  <c r="D58" i="5" s="1"/>
  <c r="D59" i="5" a="1"/>
  <c r="D59" i="5" s="1"/>
  <c r="D60" i="5" a="1"/>
  <c r="D60" i="5" s="1"/>
  <c r="D61" i="5" a="1"/>
  <c r="D61" i="5" s="1"/>
  <c r="D62" i="5" a="1"/>
  <c r="D62" i="5" s="1"/>
  <c r="D63" i="5" a="1"/>
  <c r="D63" i="5" s="1"/>
  <c r="G11" i="5"/>
  <c r="J11" i="5" s="1"/>
  <c r="G12" i="5"/>
  <c r="J12" i="5" s="1"/>
  <c r="G13" i="5"/>
  <c r="J13" i="5" s="1"/>
  <c r="G14" i="5"/>
  <c r="J14" i="5" s="1"/>
  <c r="G15" i="5"/>
  <c r="J15" i="5" s="1"/>
  <c r="G16" i="5"/>
  <c r="J16" i="5" s="1"/>
  <c r="G17" i="5"/>
  <c r="J17" i="5" s="1"/>
  <c r="G18" i="5"/>
  <c r="J18" i="5" s="1"/>
  <c r="G19" i="5"/>
  <c r="J19" i="5" s="1"/>
  <c r="G20" i="5"/>
  <c r="J20" i="5" s="1"/>
  <c r="G21" i="5"/>
  <c r="J21" i="5" s="1"/>
  <c r="G22" i="5"/>
  <c r="J22" i="5" s="1"/>
  <c r="G23" i="5"/>
  <c r="J23" i="5" s="1"/>
  <c r="G24" i="5"/>
  <c r="J24" i="5" s="1"/>
  <c r="G25" i="5"/>
  <c r="J25" i="5" s="1"/>
  <c r="G26" i="5"/>
  <c r="J26" i="5" s="1"/>
  <c r="G27" i="5"/>
  <c r="J27" i="5" s="1"/>
  <c r="G28" i="5"/>
  <c r="J28" i="5" s="1"/>
  <c r="G29" i="5"/>
  <c r="J29" i="5" s="1"/>
  <c r="G30" i="5"/>
  <c r="J30" i="5" s="1"/>
  <c r="G31" i="5"/>
  <c r="J31" i="5" s="1"/>
  <c r="G32" i="5"/>
  <c r="J32" i="5" s="1"/>
  <c r="G33" i="5"/>
  <c r="J33" i="5" s="1"/>
  <c r="G34" i="5"/>
  <c r="J34" i="5" s="1"/>
  <c r="G35" i="5"/>
  <c r="J35" i="5" s="1"/>
  <c r="G36" i="5"/>
  <c r="J36" i="5" s="1"/>
  <c r="G37" i="5"/>
  <c r="J37" i="5" s="1"/>
  <c r="G38" i="5"/>
  <c r="J38" i="5" s="1"/>
  <c r="G39" i="5"/>
  <c r="J39" i="5" s="1"/>
  <c r="G40" i="5"/>
  <c r="J40" i="5" s="1"/>
  <c r="G41" i="5"/>
  <c r="J41" i="5" s="1"/>
  <c r="G42" i="5"/>
  <c r="J42" i="5" s="1"/>
  <c r="G43" i="5"/>
  <c r="J43" i="5" s="1"/>
  <c r="G44" i="5"/>
  <c r="J44" i="5" s="1"/>
  <c r="G45" i="5"/>
  <c r="J45" i="5" s="1"/>
  <c r="G46" i="5"/>
  <c r="J46" i="5" s="1"/>
  <c r="G47" i="5"/>
  <c r="J47" i="5" s="1"/>
  <c r="G48" i="5"/>
  <c r="J48" i="5" s="1"/>
  <c r="G49" i="5"/>
  <c r="J49" i="5" s="1"/>
  <c r="G50" i="5"/>
  <c r="J50" i="5" s="1"/>
  <c r="G51" i="5"/>
  <c r="J51" i="5" s="1"/>
  <c r="G52" i="5"/>
  <c r="J52" i="5" s="1"/>
  <c r="G53" i="5"/>
  <c r="J53" i="5" s="1"/>
  <c r="G54" i="5"/>
  <c r="J54" i="5" s="1"/>
  <c r="G55" i="5"/>
  <c r="J55" i="5" s="1"/>
  <c r="G56" i="5"/>
  <c r="J56" i="5" s="1"/>
  <c r="G57" i="5"/>
  <c r="J57" i="5" s="1"/>
  <c r="G58" i="5"/>
  <c r="J58" i="5" s="1"/>
  <c r="G59" i="5"/>
  <c r="J59" i="5" s="1"/>
  <c r="G60" i="5"/>
  <c r="J60" i="5" s="1"/>
  <c r="G61" i="5"/>
  <c r="J61" i="5" s="1"/>
  <c r="G62" i="5"/>
  <c r="J62" i="5" s="1"/>
  <c r="G63" i="5"/>
  <c r="J63" i="5" s="1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D13" i="4" a="1"/>
  <c r="D13" i="4" s="1"/>
  <c r="D14" i="4" a="1"/>
  <c r="D14" i="4" s="1"/>
  <c r="D15" i="4" a="1"/>
  <c r="D15" i="4" s="1"/>
  <c r="D16" i="4" a="1"/>
  <c r="D16" i="4" s="1"/>
  <c r="D17" i="4" a="1"/>
  <c r="D17" i="4" s="1"/>
  <c r="D18" i="4" a="1"/>
  <c r="D18" i="4" s="1"/>
  <c r="D19" i="4" a="1"/>
  <c r="D19" i="4" s="1"/>
  <c r="D20" i="4" a="1"/>
  <c r="D20" i="4" s="1"/>
  <c r="D21" i="4" a="1"/>
  <c r="D21" i="4" s="1"/>
  <c r="D22" i="4" a="1"/>
  <c r="D22" i="4" s="1"/>
  <c r="D23" i="4" a="1"/>
  <c r="D23" i="4" s="1"/>
  <c r="D24" i="4" a="1"/>
  <c r="D24" i="4" s="1"/>
  <c r="D25" i="4" a="1"/>
  <c r="D25" i="4" s="1"/>
  <c r="D26" i="4" a="1"/>
  <c r="D26" i="4" s="1"/>
  <c r="D27" i="4" a="1"/>
  <c r="D27" i="4" s="1"/>
  <c r="D28" i="4" a="1"/>
  <c r="D28" i="4" s="1"/>
  <c r="D29" i="4" a="1"/>
  <c r="D29" i="4" s="1"/>
  <c r="D30" i="4" a="1"/>
  <c r="D30" i="4" s="1"/>
  <c r="D31" i="4" a="1"/>
  <c r="D31" i="4" s="1"/>
  <c r="D32" i="4" a="1"/>
  <c r="D32" i="4" s="1"/>
  <c r="D33" i="4" a="1"/>
  <c r="D33" i="4" s="1"/>
  <c r="D34" i="4" a="1"/>
  <c r="D34" i="4" s="1"/>
  <c r="D35" i="4" a="1"/>
  <c r="D35" i="4" s="1"/>
  <c r="D36" i="4" a="1"/>
  <c r="D36" i="4" s="1"/>
  <c r="D37" i="4" a="1"/>
  <c r="D37" i="4" s="1"/>
  <c r="D38" i="4" a="1"/>
  <c r="D38" i="4" s="1"/>
  <c r="D39" i="4" a="1"/>
  <c r="D39" i="4" s="1"/>
  <c r="D40" i="4" a="1"/>
  <c r="D40" i="4" s="1"/>
  <c r="D41" i="4" a="1"/>
  <c r="D41" i="4" s="1"/>
  <c r="D42" i="4" a="1"/>
  <c r="D42" i="4" s="1"/>
  <c r="D43" i="4" a="1"/>
  <c r="D43" i="4" s="1"/>
  <c r="D44" i="4" a="1"/>
  <c r="D44" i="4" s="1"/>
  <c r="D45" i="4" a="1"/>
  <c r="D45" i="4" s="1"/>
  <c r="D46" i="4" a="1"/>
  <c r="D46" i="4" s="1"/>
  <c r="D47" i="4" a="1"/>
  <c r="D47" i="4" s="1"/>
  <c r="D48" i="4" a="1"/>
  <c r="D48" i="4" s="1"/>
  <c r="D49" i="4" a="1"/>
  <c r="D49" i="4" s="1"/>
  <c r="D50" i="4" a="1"/>
  <c r="D50" i="4" s="1"/>
  <c r="D51" i="4" a="1"/>
  <c r="D51" i="4" s="1"/>
  <c r="D52" i="4" a="1"/>
  <c r="D52" i="4" s="1"/>
  <c r="D53" i="4" a="1"/>
  <c r="D53" i="4" s="1"/>
  <c r="D54" i="4" a="1"/>
  <c r="D54" i="4" s="1"/>
  <c r="D55" i="4" a="1"/>
  <c r="D55" i="4" s="1"/>
  <c r="D56" i="4" a="1"/>
  <c r="D56" i="4" s="1"/>
  <c r="D57" i="4" a="1"/>
  <c r="D57" i="4" s="1"/>
  <c r="D58" i="4" a="1"/>
  <c r="D58" i="4" s="1"/>
  <c r="D59" i="4" a="1"/>
  <c r="D59" i="4" s="1"/>
  <c r="D60" i="4" a="1"/>
  <c r="D60" i="4" s="1"/>
  <c r="D61" i="4" a="1"/>
  <c r="D61" i="4" s="1"/>
  <c r="D62" i="4" a="1"/>
  <c r="D62" i="4" s="1"/>
  <c r="D63" i="4" a="1"/>
  <c r="D63" i="4" s="1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C12" i="4"/>
  <c r="D12" i="4" a="1"/>
  <c r="D12" i="4" s="1"/>
  <c r="I12" i="4"/>
  <c r="C11" i="4"/>
  <c r="D11" i="4" a="1"/>
  <c r="D11" i="4" s="1"/>
  <c r="I11" i="4"/>
  <c r="B63" i="3"/>
  <c r="E63" i="4" s="1"/>
  <c r="C63" i="3"/>
  <c r="F63" i="4" s="1"/>
  <c r="I63" i="3"/>
  <c r="K63" i="3" s="1"/>
  <c r="B62" i="3"/>
  <c r="E62" i="5" s="1"/>
  <c r="C62" i="3"/>
  <c r="F62" i="5" s="1"/>
  <c r="I62" i="3"/>
  <c r="K62" i="3" s="1"/>
  <c r="C10" i="5"/>
  <c r="D10" i="5" a="1"/>
  <c r="D10" i="5" s="1"/>
  <c r="G10" i="5"/>
  <c r="J10" i="5" s="1"/>
  <c r="H10" i="5"/>
  <c r="F12" i="3"/>
  <c r="E18" i="3" a="1"/>
  <c r="E18" i="3" s="1"/>
  <c r="E20" i="3" a="1"/>
  <c r="E20" i="3" s="1"/>
  <c r="E21" i="3" a="1"/>
  <c r="E21" i="3" s="1"/>
  <c r="E29" i="3" a="1"/>
  <c r="E29" i="3" s="1"/>
  <c r="E30" i="3" a="1"/>
  <c r="E30" i="3" s="1"/>
  <c r="E43" i="3" a="1"/>
  <c r="E43" i="3" s="1"/>
  <c r="E58" i="3" a="1"/>
  <c r="E58" i="3" s="1"/>
  <c r="E59" i="3" a="1"/>
  <c r="E59" i="3" s="1"/>
  <c r="E60" i="3" a="1"/>
  <c r="E60" i="3" s="1"/>
  <c r="E61" i="3" a="1"/>
  <c r="E61" i="3" s="1"/>
  <c r="C9" i="5"/>
  <c r="D9" i="5" a="1"/>
  <c r="D9" i="5" s="1"/>
  <c r="G9" i="5"/>
  <c r="J9" i="5" s="1"/>
  <c r="H9" i="5"/>
  <c r="G7" i="5"/>
  <c r="J7" i="5" s="1"/>
  <c r="G8" i="5"/>
  <c r="J8" i="5" s="1"/>
  <c r="C8" i="5"/>
  <c r="D8" i="5" a="1"/>
  <c r="D8" i="5" s="1"/>
  <c r="H8" i="5"/>
  <c r="H7" i="5"/>
  <c r="D7" i="5" a="1"/>
  <c r="D7" i="5" s="1"/>
  <c r="D7" i="4" a="1"/>
  <c r="D7" i="4" s="1"/>
  <c r="C7" i="5"/>
  <c r="C7" i="4"/>
  <c r="C10" i="4"/>
  <c r="D10" i="4" a="1"/>
  <c r="D10" i="4" s="1"/>
  <c r="I10" i="4"/>
  <c r="I7" i="3"/>
  <c r="I8" i="3"/>
  <c r="K8" i="3" s="1"/>
  <c r="I9" i="3"/>
  <c r="K9" i="3" s="1"/>
  <c r="I10" i="3"/>
  <c r="K10" i="3" s="1"/>
  <c r="I11" i="3"/>
  <c r="K11" i="3" s="1"/>
  <c r="I12" i="3"/>
  <c r="K12" i="3" s="1"/>
  <c r="I13" i="3"/>
  <c r="K13" i="3" s="1"/>
  <c r="I14" i="3"/>
  <c r="K14" i="3" s="1"/>
  <c r="I15" i="3"/>
  <c r="K15" i="3" s="1"/>
  <c r="I16" i="3"/>
  <c r="K16" i="3" s="1"/>
  <c r="I17" i="3"/>
  <c r="K17" i="3" s="1"/>
  <c r="I18" i="3"/>
  <c r="K18" i="3" s="1"/>
  <c r="I19" i="3"/>
  <c r="K19" i="3" s="1"/>
  <c r="I20" i="3"/>
  <c r="K20" i="3" s="1"/>
  <c r="I21" i="3"/>
  <c r="K21" i="3" s="1"/>
  <c r="I22" i="3"/>
  <c r="K22" i="3" s="1"/>
  <c r="I23" i="3"/>
  <c r="K23" i="3" s="1"/>
  <c r="I24" i="3"/>
  <c r="K24" i="3" s="1"/>
  <c r="I25" i="3"/>
  <c r="K25" i="3" s="1"/>
  <c r="I26" i="3"/>
  <c r="K26" i="3" s="1"/>
  <c r="I27" i="3"/>
  <c r="K27" i="3" s="1"/>
  <c r="I28" i="3"/>
  <c r="K28" i="3" s="1"/>
  <c r="I29" i="3"/>
  <c r="K29" i="3" s="1"/>
  <c r="I30" i="3"/>
  <c r="K30" i="3" s="1"/>
  <c r="I31" i="3"/>
  <c r="K31" i="3" s="1"/>
  <c r="I32" i="3"/>
  <c r="K32" i="3" s="1"/>
  <c r="I33" i="3"/>
  <c r="K33" i="3" s="1"/>
  <c r="I34" i="3"/>
  <c r="K34" i="3" s="1"/>
  <c r="I35" i="3"/>
  <c r="K35" i="3" s="1"/>
  <c r="I36" i="3"/>
  <c r="K36" i="3" s="1"/>
  <c r="I37" i="3"/>
  <c r="K37" i="3" s="1"/>
  <c r="I38" i="3"/>
  <c r="K38" i="3" s="1"/>
  <c r="I39" i="3"/>
  <c r="K39" i="3" s="1"/>
  <c r="I40" i="3"/>
  <c r="K40" i="3" s="1"/>
  <c r="I41" i="3"/>
  <c r="K41" i="3" s="1"/>
  <c r="I42" i="3"/>
  <c r="K42" i="3" s="1"/>
  <c r="I43" i="3"/>
  <c r="K43" i="3" s="1"/>
  <c r="I44" i="3"/>
  <c r="K44" i="3" s="1"/>
  <c r="I45" i="3"/>
  <c r="K45" i="3" s="1"/>
  <c r="I46" i="3"/>
  <c r="K46" i="3" s="1"/>
  <c r="I47" i="3"/>
  <c r="K47" i="3" s="1"/>
  <c r="I48" i="3"/>
  <c r="K48" i="3" s="1"/>
  <c r="I49" i="3"/>
  <c r="K49" i="3" s="1"/>
  <c r="I50" i="3"/>
  <c r="K50" i="3" s="1"/>
  <c r="I51" i="3"/>
  <c r="K51" i="3" s="1"/>
  <c r="I52" i="3"/>
  <c r="K52" i="3" s="1"/>
  <c r="I53" i="3"/>
  <c r="K53" i="3" s="1"/>
  <c r="I54" i="3"/>
  <c r="K54" i="3" s="1"/>
  <c r="I55" i="3"/>
  <c r="K55" i="3" s="1"/>
  <c r="I56" i="3"/>
  <c r="K56" i="3" s="1"/>
  <c r="I57" i="3"/>
  <c r="K57" i="3" s="1"/>
  <c r="I58" i="3"/>
  <c r="K58" i="3" s="1"/>
  <c r="I59" i="3"/>
  <c r="K59" i="3" s="1"/>
  <c r="I60" i="3"/>
  <c r="K60" i="3" s="1"/>
  <c r="I61" i="3"/>
  <c r="K61" i="3" s="1"/>
  <c r="C9" i="4"/>
  <c r="D9" i="4" a="1"/>
  <c r="D9" i="4" s="1"/>
  <c r="I9" i="4"/>
  <c r="C8" i="4"/>
  <c r="D8" i="4" a="1"/>
  <c r="D8" i="4" s="1"/>
  <c r="I8" i="4"/>
  <c r="I7" i="4"/>
  <c r="C7" i="3"/>
  <c r="F7" i="5" s="1"/>
  <c r="C8" i="3"/>
  <c r="F8" i="5" s="1"/>
  <c r="C9" i="3"/>
  <c r="C10" i="3"/>
  <c r="C11" i="3"/>
  <c r="F11" i="5" s="1"/>
  <c r="C12" i="3"/>
  <c r="C13" i="3"/>
  <c r="F13" i="4" s="1"/>
  <c r="C14" i="3"/>
  <c r="F14" i="4" s="1"/>
  <c r="C15" i="3"/>
  <c r="F15" i="4" s="1"/>
  <c r="C16" i="3"/>
  <c r="F16" i="4" s="1"/>
  <c r="C17" i="3"/>
  <c r="F17" i="4" s="1"/>
  <c r="C18" i="3"/>
  <c r="F18" i="4" s="1"/>
  <c r="C19" i="3"/>
  <c r="F19" i="5" s="1"/>
  <c r="C20" i="3"/>
  <c r="F20" i="5" s="1"/>
  <c r="C21" i="3"/>
  <c r="F21" i="4" s="1"/>
  <c r="C22" i="3"/>
  <c r="F22" i="4" s="1"/>
  <c r="C23" i="3"/>
  <c r="F23" i="4" s="1"/>
  <c r="C24" i="3"/>
  <c r="F24" i="4" s="1"/>
  <c r="C25" i="3"/>
  <c r="F25" i="4" s="1"/>
  <c r="C26" i="3"/>
  <c r="F26" i="4" s="1"/>
  <c r="C27" i="3"/>
  <c r="F27" i="5" s="1"/>
  <c r="C28" i="3"/>
  <c r="F28" i="4" s="1"/>
  <c r="C29" i="3"/>
  <c r="F29" i="4" s="1"/>
  <c r="C30" i="3"/>
  <c r="F30" i="4" s="1"/>
  <c r="C31" i="3"/>
  <c r="F31" i="4" s="1"/>
  <c r="C32" i="3"/>
  <c r="F32" i="4" s="1"/>
  <c r="C33" i="3"/>
  <c r="F33" i="4" s="1"/>
  <c r="C34" i="3"/>
  <c r="F34" i="5" s="1"/>
  <c r="C35" i="3"/>
  <c r="F35" i="5" s="1"/>
  <c r="C36" i="3"/>
  <c r="F36" i="5" s="1"/>
  <c r="C37" i="3"/>
  <c r="F37" i="4" s="1"/>
  <c r="C38" i="3"/>
  <c r="F38" i="4" s="1"/>
  <c r="C39" i="3"/>
  <c r="F39" i="4" s="1"/>
  <c r="C40" i="3"/>
  <c r="F40" i="4" s="1"/>
  <c r="C41" i="3"/>
  <c r="F41" i="4" s="1"/>
  <c r="C42" i="3"/>
  <c r="F42" i="4" s="1"/>
  <c r="C43" i="3"/>
  <c r="F43" i="5" s="1"/>
  <c r="C44" i="3"/>
  <c r="F44" i="5" s="1"/>
  <c r="C45" i="3"/>
  <c r="F45" i="4" s="1"/>
  <c r="C46" i="3"/>
  <c r="F46" i="4" s="1"/>
  <c r="C47" i="3"/>
  <c r="F47" i="4" s="1"/>
  <c r="C48" i="3"/>
  <c r="F48" i="4" s="1"/>
  <c r="C49" i="3"/>
  <c r="F49" i="4" s="1"/>
  <c r="C50" i="3"/>
  <c r="F50" i="4" s="1"/>
  <c r="C51" i="3"/>
  <c r="F51" i="5" s="1"/>
  <c r="C52" i="3"/>
  <c r="F52" i="5" s="1"/>
  <c r="C53" i="3"/>
  <c r="F53" i="4" s="1"/>
  <c r="C54" i="3"/>
  <c r="F54" i="4" s="1"/>
  <c r="C55" i="3"/>
  <c r="F55" i="4" s="1"/>
  <c r="C56" i="3"/>
  <c r="F56" i="4" s="1"/>
  <c r="C57" i="3"/>
  <c r="F57" i="4" s="1"/>
  <c r="C58" i="3"/>
  <c r="F58" i="5" s="1"/>
  <c r="C59" i="3"/>
  <c r="F59" i="5" s="1"/>
  <c r="C60" i="3"/>
  <c r="F60" i="5" s="1"/>
  <c r="C61" i="3"/>
  <c r="F61" i="4" s="1"/>
  <c r="B7" i="3"/>
  <c r="E7" i="4" s="1"/>
  <c r="B8" i="3"/>
  <c r="E8" i="4" s="1"/>
  <c r="B9" i="3"/>
  <c r="B10" i="3"/>
  <c r="B11" i="3"/>
  <c r="E11" i="5" s="1"/>
  <c r="B12" i="3"/>
  <c r="B13" i="3"/>
  <c r="E13" i="5" s="1"/>
  <c r="B14" i="3"/>
  <c r="E14" i="5" s="1"/>
  <c r="B15" i="3"/>
  <c r="E15" i="5" s="1"/>
  <c r="B16" i="3"/>
  <c r="E16" i="5" s="1"/>
  <c r="B17" i="3"/>
  <c r="E17" i="4" s="1"/>
  <c r="B18" i="3"/>
  <c r="E18" i="5" s="1"/>
  <c r="B19" i="3"/>
  <c r="E19" i="4" s="1"/>
  <c r="B20" i="3"/>
  <c r="E20" i="5" s="1"/>
  <c r="B21" i="3"/>
  <c r="E21" i="5" s="1"/>
  <c r="B22" i="3"/>
  <c r="E22" i="5" s="1"/>
  <c r="B23" i="3"/>
  <c r="E23" i="4" s="1"/>
  <c r="B24" i="3"/>
  <c r="E24" i="5" s="1"/>
  <c r="B25" i="3"/>
  <c r="E25" i="4" s="1"/>
  <c r="B26" i="3"/>
  <c r="E26" i="5" s="1"/>
  <c r="B27" i="3"/>
  <c r="E27" i="4" s="1"/>
  <c r="B28" i="3"/>
  <c r="B29" i="3"/>
  <c r="E29" i="5" s="1"/>
  <c r="B30" i="3"/>
  <c r="E30" i="5" s="1"/>
  <c r="B32" i="3"/>
  <c r="E32" i="5" s="1"/>
  <c r="B33" i="3"/>
  <c r="E33" i="5" s="1"/>
  <c r="B34" i="3"/>
  <c r="E34" i="5" s="1"/>
  <c r="B35" i="3"/>
  <c r="E35" i="5" s="1"/>
  <c r="B36" i="3"/>
  <c r="E36" i="5" s="1"/>
  <c r="B37" i="3"/>
  <c r="E37" i="5" s="1"/>
  <c r="B38" i="3"/>
  <c r="E38" i="5" s="1"/>
  <c r="B39" i="3"/>
  <c r="E39" i="4" s="1"/>
  <c r="B40" i="3"/>
  <c r="E40" i="5" s="1"/>
  <c r="B41" i="3"/>
  <c r="E41" i="5" s="1"/>
  <c r="B42" i="3"/>
  <c r="E42" i="5" s="1"/>
  <c r="B43" i="3"/>
  <c r="E43" i="5" s="1"/>
  <c r="B44" i="3"/>
  <c r="E44" i="5" s="1"/>
  <c r="B45" i="3"/>
  <c r="E45" i="5" s="1"/>
  <c r="B46" i="3"/>
  <c r="E46" i="5" s="1"/>
  <c r="B47" i="3"/>
  <c r="E47" i="5" s="1"/>
  <c r="B48" i="3"/>
  <c r="E48" i="5" s="1"/>
  <c r="B49" i="3"/>
  <c r="E49" i="5" s="1"/>
  <c r="B50" i="3"/>
  <c r="E50" i="5" s="1"/>
  <c r="B51" i="3"/>
  <c r="E51" i="5" s="1"/>
  <c r="B52" i="3"/>
  <c r="E52" i="5" s="1"/>
  <c r="B53" i="3"/>
  <c r="E53" i="5" s="1"/>
  <c r="B54" i="3"/>
  <c r="E54" i="5" s="1"/>
  <c r="B55" i="3"/>
  <c r="E55" i="4" s="1"/>
  <c r="B56" i="3"/>
  <c r="E56" i="5" s="1"/>
  <c r="B57" i="3"/>
  <c r="E57" i="5" s="1"/>
  <c r="B58" i="3"/>
  <c r="E58" i="5" s="1"/>
  <c r="B59" i="3"/>
  <c r="E59" i="5" s="1"/>
  <c r="B60" i="3"/>
  <c r="E60" i="5" s="1"/>
  <c r="B61" i="3"/>
  <c r="E61" i="5" s="1"/>
  <c r="F123" i="3" l="1"/>
  <c r="J123" i="3" s="1"/>
  <c r="F118" i="3"/>
  <c r="J118" i="3" s="1"/>
  <c r="F115" i="3"/>
  <c r="J115" i="3" s="1"/>
  <c r="F121" i="3"/>
  <c r="J121" i="3" s="1"/>
  <c r="F120" i="3"/>
  <c r="J120" i="3" s="1"/>
  <c r="F119" i="3"/>
  <c r="J119" i="3" s="1"/>
  <c r="F116" i="3"/>
  <c r="J116" i="3" s="1"/>
  <c r="F117" i="3"/>
  <c r="J117" i="3" s="1"/>
  <c r="F114" i="3"/>
  <c r="J114" i="3" s="1"/>
  <c r="F113" i="3"/>
  <c r="J113" i="3" s="1"/>
  <c r="F112" i="3"/>
  <c r="J112" i="3" s="1"/>
  <c r="F111" i="3"/>
  <c r="J111" i="3" s="1"/>
  <c r="F110" i="3"/>
  <c r="J110" i="3" s="1"/>
  <c r="F109" i="3"/>
  <c r="J109" i="3" s="1"/>
  <c r="F108" i="3"/>
  <c r="J108" i="3" s="1"/>
  <c r="F107" i="3"/>
  <c r="J107" i="3" s="1"/>
  <c r="F99" i="3"/>
  <c r="J99" i="3" s="1"/>
  <c r="F106" i="3"/>
  <c r="J106" i="3" s="1"/>
  <c r="F105" i="3"/>
  <c r="J105" i="3" s="1"/>
  <c r="F104" i="3"/>
  <c r="J104" i="3" s="1"/>
  <c r="J103" i="3"/>
  <c r="F102" i="3"/>
  <c r="J102" i="3" s="1"/>
  <c r="F101" i="3"/>
  <c r="J101" i="3" s="1"/>
  <c r="F100" i="3"/>
  <c r="J100" i="3" s="1"/>
  <c r="F98" i="3"/>
  <c r="J98" i="3" s="1"/>
  <c r="J97" i="3"/>
  <c r="F96" i="3"/>
  <c r="J96" i="3" s="1"/>
  <c r="F95" i="3"/>
  <c r="J95" i="3" s="1"/>
  <c r="F94" i="3"/>
  <c r="J94" i="3" s="1"/>
  <c r="F93" i="3"/>
  <c r="J93" i="3" s="1"/>
  <c r="F92" i="3"/>
  <c r="J92" i="3" s="1"/>
  <c r="F91" i="3"/>
  <c r="J91" i="3" s="1"/>
  <c r="F90" i="3"/>
  <c r="J90" i="3" s="1"/>
  <c r="F89" i="3"/>
  <c r="J89" i="3" s="1"/>
  <c r="F88" i="3"/>
  <c r="J88" i="3" s="1"/>
  <c r="F87" i="3"/>
  <c r="J87" i="3" s="1"/>
  <c r="F86" i="3"/>
  <c r="J86" i="3" s="1"/>
  <c r="F85" i="3"/>
  <c r="J85" i="3" s="1"/>
  <c r="F84" i="3"/>
  <c r="J84" i="3" s="1"/>
  <c r="F83" i="3"/>
  <c r="J83" i="3" s="1"/>
  <c r="F82" i="3"/>
  <c r="J82" i="3" s="1"/>
  <c r="F81" i="3"/>
  <c r="J81" i="3" s="1"/>
  <c r="F80" i="3"/>
  <c r="J80" i="3" s="1"/>
  <c r="F79" i="3"/>
  <c r="J79" i="3" s="1"/>
  <c r="F78" i="3"/>
  <c r="J78" i="3" s="1"/>
  <c r="F77" i="3"/>
  <c r="J77" i="3" s="1"/>
  <c r="F76" i="3"/>
  <c r="J76" i="3" s="1"/>
  <c r="F75" i="3"/>
  <c r="J75" i="3" s="1"/>
  <c r="J74" i="3"/>
  <c r="F73" i="3"/>
  <c r="J73" i="3" s="1"/>
  <c r="F72" i="3"/>
  <c r="J72" i="3" s="1"/>
  <c r="F71" i="3"/>
  <c r="J71" i="3" s="1"/>
  <c r="F70" i="3"/>
  <c r="J70" i="3" s="1"/>
  <c r="F69" i="3"/>
  <c r="J69" i="3" s="1"/>
  <c r="F68" i="3"/>
  <c r="J68" i="3" s="1"/>
  <c r="F67" i="3"/>
  <c r="J67" i="3" s="1"/>
  <c r="F66" i="3"/>
  <c r="J66" i="3" s="1"/>
  <c r="F65" i="3"/>
  <c r="J65" i="3" s="1"/>
  <c r="F64" i="3"/>
  <c r="J64" i="3" s="1"/>
  <c r="E31" i="4"/>
  <c r="F9" i="5"/>
  <c r="E10" i="5"/>
  <c r="E10" i="4"/>
  <c r="F9" i="4"/>
  <c r="E47" i="4"/>
  <c r="F36" i="4"/>
  <c r="E55" i="5"/>
  <c r="F44" i="4"/>
  <c r="E49" i="4"/>
  <c r="E63" i="5"/>
  <c r="E43" i="4"/>
  <c r="F20" i="4"/>
  <c r="E41" i="4"/>
  <c r="E39" i="5"/>
  <c r="E59" i="4"/>
  <c r="F62" i="4"/>
  <c r="E57" i="4"/>
  <c r="E35" i="4"/>
  <c r="F60" i="4"/>
  <c r="E33" i="4"/>
  <c r="F12" i="4"/>
  <c r="F52" i="4"/>
  <c r="E51" i="4"/>
  <c r="E15" i="4"/>
  <c r="F50" i="5"/>
  <c r="F11" i="4"/>
  <c r="F59" i="4"/>
  <c r="F51" i="4"/>
  <c r="F43" i="4"/>
  <c r="F35" i="4"/>
  <c r="F27" i="4"/>
  <c r="F19" i="4"/>
  <c r="E62" i="4"/>
  <c r="E54" i="4"/>
  <c r="E46" i="4"/>
  <c r="E38" i="4"/>
  <c r="E30" i="4"/>
  <c r="E22" i="4"/>
  <c r="E14" i="4"/>
  <c r="F57" i="5"/>
  <c r="F49" i="5"/>
  <c r="F41" i="5"/>
  <c r="F33" i="5"/>
  <c r="F25" i="5"/>
  <c r="F17" i="5"/>
  <c r="F42" i="5"/>
  <c r="F26" i="5"/>
  <c r="F18" i="5"/>
  <c r="E23" i="5"/>
  <c r="F10" i="4"/>
  <c r="E11" i="4"/>
  <c r="F58" i="4"/>
  <c r="F34" i="4"/>
  <c r="E61" i="4"/>
  <c r="E53" i="4"/>
  <c r="E45" i="4"/>
  <c r="E37" i="4"/>
  <c r="E29" i="4"/>
  <c r="E21" i="4"/>
  <c r="E13" i="4"/>
  <c r="F56" i="5"/>
  <c r="F48" i="5"/>
  <c r="F40" i="5"/>
  <c r="F32" i="5"/>
  <c r="F24" i="5"/>
  <c r="F16" i="5"/>
  <c r="E9" i="5"/>
  <c r="E60" i="4"/>
  <c r="E52" i="4"/>
  <c r="E44" i="4"/>
  <c r="E36" i="4"/>
  <c r="E28" i="4"/>
  <c r="E20" i="4"/>
  <c r="F63" i="5"/>
  <c r="F55" i="5"/>
  <c r="F47" i="5"/>
  <c r="F39" i="5"/>
  <c r="F31" i="5"/>
  <c r="F23" i="5"/>
  <c r="F15" i="5"/>
  <c r="E28" i="5"/>
  <c r="E12" i="5"/>
  <c r="F54" i="5"/>
  <c r="F46" i="5"/>
  <c r="F38" i="5"/>
  <c r="F30" i="5"/>
  <c r="F22" i="5"/>
  <c r="F14" i="5"/>
  <c r="E27" i="5"/>
  <c r="E19" i="5"/>
  <c r="E9" i="4"/>
  <c r="F10" i="5"/>
  <c r="E58" i="4"/>
  <c r="E50" i="4"/>
  <c r="E42" i="4"/>
  <c r="E34" i="4"/>
  <c r="E26" i="4"/>
  <c r="E18" i="4"/>
  <c r="F61" i="5"/>
  <c r="F53" i="5"/>
  <c r="F45" i="5"/>
  <c r="F37" i="5"/>
  <c r="F29" i="5"/>
  <c r="F21" i="5"/>
  <c r="F13" i="5"/>
  <c r="F28" i="5"/>
  <c r="F12" i="5"/>
  <c r="E25" i="5"/>
  <c r="E17" i="5"/>
  <c r="E12" i="4"/>
  <c r="E56" i="4"/>
  <c r="E48" i="4"/>
  <c r="E40" i="4"/>
  <c r="E32" i="4"/>
  <c r="E24" i="4"/>
  <c r="E16" i="4"/>
  <c r="K18" i="5"/>
  <c r="K52" i="5"/>
  <c r="K44" i="5"/>
  <c r="K36" i="5"/>
  <c r="K28" i="5"/>
  <c r="K20" i="5"/>
  <c r="K12" i="5"/>
  <c r="K50" i="5"/>
  <c r="K61" i="5"/>
  <c r="K45" i="5"/>
  <c r="K21" i="5"/>
  <c r="K13" i="5"/>
  <c r="K16" i="5"/>
  <c r="K48" i="5"/>
  <c r="K40" i="5"/>
  <c r="K24" i="5"/>
  <c r="K32" i="5"/>
  <c r="K63" i="5"/>
  <c r="K55" i="5"/>
  <c r="K47" i="5"/>
  <c r="K39" i="5"/>
  <c r="K31" i="5"/>
  <c r="K23" i="5"/>
  <c r="K15" i="5"/>
  <c r="K60" i="5"/>
  <c r="K27" i="5"/>
  <c r="K59" i="5"/>
  <c r="K11" i="5"/>
  <c r="K37" i="5"/>
  <c r="K29" i="5"/>
  <c r="K58" i="5"/>
  <c r="K43" i="5"/>
  <c r="K19" i="5"/>
  <c r="K42" i="5"/>
  <c r="K34" i="5"/>
  <c r="K26" i="5"/>
  <c r="K35" i="5"/>
  <c r="K57" i="5"/>
  <c r="K49" i="5"/>
  <c r="K41" i="5"/>
  <c r="K33" i="5"/>
  <c r="K25" i="5"/>
  <c r="K17" i="5"/>
  <c r="K56" i="5"/>
  <c r="K62" i="5"/>
  <c r="K54" i="5"/>
  <c r="K46" i="5"/>
  <c r="K38" i="5"/>
  <c r="K30" i="5"/>
  <c r="K22" i="5"/>
  <c r="K14" i="5"/>
  <c r="K53" i="5"/>
  <c r="K51" i="5"/>
  <c r="F63" i="3"/>
  <c r="J63" i="3" s="1"/>
  <c r="F62" i="3"/>
  <c r="J62" i="3" s="1"/>
  <c r="E8" i="5"/>
  <c r="F8" i="4"/>
  <c r="E7" i="5"/>
  <c r="F7" i="4"/>
  <c r="K10" i="5"/>
  <c r="J5" i="5"/>
  <c r="K9" i="5"/>
  <c r="F51" i="3"/>
  <c r="J51" i="3" s="1"/>
  <c r="F43" i="3"/>
  <c r="J43" i="3" s="1"/>
  <c r="F35" i="3"/>
  <c r="J35" i="3" s="1"/>
  <c r="F19" i="3"/>
  <c r="J19" i="3" s="1"/>
  <c r="F11" i="3"/>
  <c r="J11" i="3" s="1"/>
  <c r="F55" i="3"/>
  <c r="J55" i="3" s="1"/>
  <c r="F47" i="3"/>
  <c r="J47" i="3" s="1"/>
  <c r="F39" i="3"/>
  <c r="J39" i="3" s="1"/>
  <c r="F31" i="3"/>
  <c r="J31" i="3" s="1"/>
  <c r="F23" i="3"/>
  <c r="J23" i="3" s="1"/>
  <c r="F15" i="3"/>
  <c r="J15" i="3" s="1"/>
  <c r="F7" i="3"/>
  <c r="J7" i="3" s="1"/>
  <c r="F54" i="3"/>
  <c r="J54" i="3" s="1"/>
  <c r="F46" i="3"/>
  <c r="J46" i="3" s="1"/>
  <c r="F38" i="3"/>
  <c r="J38" i="3" s="1"/>
  <c r="F30" i="3"/>
  <c r="J30" i="3" s="1"/>
  <c r="F22" i="3"/>
  <c r="J22" i="3" s="1"/>
  <c r="F14" i="3"/>
  <c r="J14" i="3" s="1"/>
  <c r="F61" i="3"/>
  <c r="J61" i="3" s="1"/>
  <c r="F53" i="3"/>
  <c r="J53" i="3" s="1"/>
  <c r="F45" i="3"/>
  <c r="J45" i="3" s="1"/>
  <c r="F37" i="3"/>
  <c r="J37" i="3" s="1"/>
  <c r="F29" i="3"/>
  <c r="J29" i="3" s="1"/>
  <c r="F21" i="3"/>
  <c r="J21" i="3" s="1"/>
  <c r="F13" i="3"/>
  <c r="J13" i="3" s="1"/>
  <c r="F60" i="3"/>
  <c r="J60" i="3" s="1"/>
  <c r="J52" i="3"/>
  <c r="F44" i="3"/>
  <c r="J44" i="3" s="1"/>
  <c r="F36" i="3"/>
  <c r="J36" i="3" s="1"/>
  <c r="F28" i="3"/>
  <c r="J28" i="3" s="1"/>
  <c r="F20" i="3"/>
  <c r="J20" i="3" s="1"/>
  <c r="F59" i="3"/>
  <c r="J59" i="3" s="1"/>
  <c r="F27" i="3"/>
  <c r="J27" i="3" s="1"/>
  <c r="F58" i="3"/>
  <c r="J58" i="3" s="1"/>
  <c r="F50" i="3"/>
  <c r="J50" i="3" s="1"/>
  <c r="F42" i="3"/>
  <c r="J42" i="3" s="1"/>
  <c r="F34" i="3"/>
  <c r="J34" i="3" s="1"/>
  <c r="F26" i="3"/>
  <c r="J26" i="3" s="1"/>
  <c r="F10" i="3"/>
  <c r="J10" i="3" s="1"/>
  <c r="F57" i="3"/>
  <c r="J57" i="3" s="1"/>
  <c r="F49" i="3"/>
  <c r="J49" i="3" s="1"/>
  <c r="F33" i="3"/>
  <c r="J33" i="3" s="1"/>
  <c r="F25" i="3"/>
  <c r="J25" i="3" s="1"/>
  <c r="F9" i="3"/>
  <c r="J9" i="3" s="1"/>
  <c r="F18" i="3"/>
  <c r="J18" i="3" s="1"/>
  <c r="F41" i="3"/>
  <c r="J41" i="3" s="1"/>
  <c r="F17" i="3"/>
  <c r="J17" i="3" s="1"/>
  <c r="F56" i="3"/>
  <c r="J56" i="3" s="1"/>
  <c r="F48" i="3"/>
  <c r="J48" i="3" s="1"/>
  <c r="J40" i="3"/>
  <c r="F32" i="3"/>
  <c r="J32" i="3" s="1"/>
  <c r="F24" i="3"/>
  <c r="J24" i="3" s="1"/>
  <c r="F16" i="3"/>
  <c r="J16" i="3" s="1"/>
  <c r="F8" i="3"/>
  <c r="J8" i="3" s="1"/>
  <c r="K8" i="5"/>
  <c r="K7" i="5"/>
  <c r="I5" i="4"/>
  <c r="J12" i="3"/>
  <c r="K5" i="5" l="1"/>
  <c r="J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<sst xmlns="http://schemas.openxmlformats.org/spreadsheetml/2006/main" count="676" uniqueCount="294">
  <si>
    <t>CODIGO</t>
  </si>
  <si>
    <t>NOMBRE DEL PRODUCTO</t>
  </si>
  <si>
    <t>CATEGORIA</t>
  </si>
  <si>
    <t>LISTA DE PRODUCTOS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</si>
  <si>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</si>
  <si>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</si>
  <si>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</si>
  <si>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</si>
  <si>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</si>
  <si>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</si>
  <si>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</si>
  <si>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</si>
  <si>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</si>
  <si>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</si>
  <si>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</si>
  <si>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</si>
  <si>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</si>
  <si>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</si>
  <si>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</si>
  <si>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</si>
  <si>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</si>
  <si>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</si>
  <si>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</si>
  <si>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</si>
  <si>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</si>
  <si>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</si>
  <si>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</si>
  <si>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</si>
  <si>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</si>
  <si>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</si>
  <si>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DETERGENTE BIO AZUL DE 5 LITROS</t>
  </si>
  <si>
    <t>DETERGENTE BIO VERDE DE 5 LITROS</t>
  </si>
  <si>
    <t>DETERGENTE MORADO CON SUAVIZANTE DE 5 LITROS</t>
  </si>
  <si>
    <t>DETERGENTE BLANCO CON SUAVIZANTE DE 5 LITROS</t>
  </si>
  <si>
    <t>DETERGENTE CELESTE CON SUAVIZANTE DE 5 LITROS</t>
  </si>
  <si>
    <t>DETERGENTE NARANJO CON SUAVIZANTE DE 5 LITROS</t>
  </si>
  <si>
    <t>DETERGENTE ROSADO CON SUAVIZANTE DE 5 LITROS</t>
  </si>
  <si>
    <t>CLORO CONCENTRADO DE 5 LITROS</t>
  </si>
  <si>
    <t>DETERGENTE DE BEBÉ 3 LITROS</t>
  </si>
  <si>
    <t>LAVALOSA SPUM DE 1 LITRO</t>
  </si>
  <si>
    <t>LAVALOSA SPUM DE 2 LITROS</t>
  </si>
  <si>
    <t>LIMPIA VIDRIOS DE 500CC</t>
  </si>
  <si>
    <t>CLORO ROPA BLANCA SPUM DE 1 LITRO</t>
  </si>
  <si>
    <t>CLORO ROPA A COLOR SPUM DE 1 LITRO</t>
  </si>
  <si>
    <t>LIMPIA PISOS FLOTANTE</t>
  </si>
  <si>
    <t>CERA DE 1 LITRO</t>
  </si>
  <si>
    <t>CERA DE 2 LITROS</t>
  </si>
  <si>
    <t>A027</t>
  </si>
  <si>
    <t>A028</t>
  </si>
  <si>
    <t>A029</t>
  </si>
  <si>
    <t>A030</t>
  </si>
  <si>
    <t>A031</t>
  </si>
  <si>
    <t>CLORINDA DE 1 LITRO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</si>
  <si>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</si>
  <si>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</si>
  <si>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</si>
  <si>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</si>
  <si>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</si>
  <si>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</si>
  <si>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</si>
  <si>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</si>
  <si>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</si>
  <si>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</si>
  <si>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TOALLITAS HUMEDAS</t>
  </si>
  <si>
    <t>PAÑUELOS DESECHABLES</t>
  </si>
  <si>
    <t>TOALLITAS HIGIENICAS (14 UNID)</t>
  </si>
  <si>
    <t>JABON EN BARRA (WINEX)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</si>
  <si>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</si>
  <si>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</si>
  <si>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</si>
  <si>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</si>
  <si>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</si>
  <si>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</si>
  <si>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</si>
  <si>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</si>
  <si>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</si>
  <si>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TRAPERO DE ALGODÓN</t>
  </si>
  <si>
    <t>PAÑOS AMARILLOS</t>
  </si>
  <si>
    <t>ESPONJAS</t>
  </si>
  <si>
    <t xml:space="preserve">VIRUTILLA </t>
  </si>
  <si>
    <t>TANAX MATA INSECTO 200CC</t>
  </si>
  <si>
    <t>CEPILLO DE DIENTES</t>
  </si>
  <si>
    <t>COTONITOS</t>
  </si>
  <si>
    <t>QUITAESMALTE</t>
  </si>
  <si>
    <t>VELAS</t>
  </si>
  <si>
    <t>A051</t>
  </si>
  <si>
    <t>A052</t>
  </si>
  <si>
    <t>A053</t>
  </si>
  <si>
    <t>A054</t>
  </si>
  <si>
    <t>A055</t>
  </si>
  <si>
    <t>BOLSA DE BASURA 70*90</t>
  </si>
  <si>
    <t>BOLSA DE BASURA 50*70</t>
  </si>
  <si>
    <t>BOLSA DE BASURA 80*110</t>
  </si>
  <si>
    <t>BOLSA DE BASURA 90*120</t>
  </si>
  <si>
    <t>ENCENDEDOR</t>
  </si>
  <si>
    <t>LAVANDERIA</t>
  </si>
  <si>
    <t>DESINFECCIÓN</t>
  </si>
  <si>
    <t>COCINA</t>
  </si>
  <si>
    <t>SUPERFICIE</t>
  </si>
  <si>
    <t>AMBIENTADORES</t>
  </si>
  <si>
    <t>HIGIENE PERSONAL</t>
  </si>
  <si>
    <t>ACCESORIOS DE LIMPIEZA</t>
  </si>
  <si>
    <t>PLAGAS</t>
  </si>
  <si>
    <t>RESIDUOS</t>
  </si>
  <si>
    <t>CATEGORIAS</t>
  </si>
  <si>
    <t>A056</t>
  </si>
  <si>
    <t>INVENTARIO</t>
  </si>
  <si>
    <t>COMPRAS</t>
  </si>
  <si>
    <t>VENTAS</t>
  </si>
  <si>
    <t>STOCK</t>
  </si>
  <si>
    <t>COSTO UNITARIO</t>
  </si>
  <si>
    <t>PRECIO DE VENTA</t>
  </si>
  <si>
    <t>UTILIDAD POR PRODUCTO</t>
  </si>
  <si>
    <t>VALOR DEL INVENTARIO</t>
  </si>
  <si>
    <t>TOTAL INVENTARIO</t>
  </si>
  <si>
    <t>FECHA</t>
  </si>
  <si>
    <t>MES</t>
  </si>
  <si>
    <t>AÑO</t>
  </si>
  <si>
    <t>CANTIDAD</t>
  </si>
  <si>
    <t>TOTAL</t>
  </si>
  <si>
    <t>TOTAL DE LA VENTA</t>
  </si>
  <si>
    <t>UTILIDAD</t>
  </si>
  <si>
    <t>TOTAL VENTA</t>
  </si>
  <si>
    <t>TOTAL UTILIDAD</t>
  </si>
  <si>
    <t>A057</t>
  </si>
  <si>
    <t>DETERGENTE OMO PARA DILUIR 3 LITROS</t>
  </si>
  <si>
    <t>A058</t>
  </si>
  <si>
    <t>DETERGENTE OMO DE 400 ML</t>
  </si>
  <si>
    <t>A059</t>
  </si>
  <si>
    <t>A060</t>
  </si>
  <si>
    <t>TOALLA NOVA ABOLENGO</t>
  </si>
  <si>
    <t>A061</t>
  </si>
  <si>
    <t>CLORO IGENIX LIQUIDO</t>
  </si>
  <si>
    <t>A062</t>
  </si>
  <si>
    <t>CLORINDA CLORO GEL</t>
  </si>
  <si>
    <t>A063</t>
  </si>
  <si>
    <t>CIF</t>
  </si>
  <si>
    <t>A064</t>
  </si>
  <si>
    <t>TOALLITAS DESINFECTANTE IGENIX</t>
  </si>
  <si>
    <t>A065</t>
  </si>
  <si>
    <t>A066</t>
  </si>
  <si>
    <t>A067</t>
  </si>
  <si>
    <t>SHAMPOO VALLERINA AROMA GRANADA</t>
  </si>
  <si>
    <t>A068</t>
  </si>
  <si>
    <t>A069</t>
  </si>
  <si>
    <t>VANISH ROSADO</t>
  </si>
  <si>
    <t>A070</t>
  </si>
  <si>
    <t>A071</t>
  </si>
  <si>
    <t>ME FALTA COMPRAR</t>
  </si>
  <si>
    <t>ANTIGRASA SPUM DE 2 LITROS</t>
  </si>
  <si>
    <t>DESODRANTE AMBIENTAL AHORRITO</t>
  </si>
  <si>
    <t>DESODRANTE AMBIENTAL AROM LAVANDA</t>
  </si>
  <si>
    <t>JABON LIQUIDO COLOR NARANJO</t>
  </si>
  <si>
    <t>JABON LIQUIDO COLOR ROSADO</t>
  </si>
  <si>
    <t>JABON LIQUIDO COLOR CELESTE</t>
  </si>
  <si>
    <t>TRAPEROS DESECHABLES  AHORRITO</t>
  </si>
  <si>
    <t>PAPEL HIGIENICO SCOTT 50 MTS</t>
  </si>
  <si>
    <t>A072</t>
  </si>
  <si>
    <t>A073</t>
  </si>
  <si>
    <t>ANTIGRASA SPUM DE 500 ML</t>
  </si>
  <si>
    <t>SACASARRO SPUM DE 2 LITROS</t>
  </si>
  <si>
    <t>SACASARRO SPUM DE 500 ML</t>
  </si>
  <si>
    <t>LAVALOSA SPUM DE 5 LITROS</t>
  </si>
  <si>
    <t>LAVALOSA QUIX</t>
  </si>
  <si>
    <t>JABON LIQUIDO DOVE</t>
  </si>
  <si>
    <t>JABON EN BARRA DOVE</t>
  </si>
  <si>
    <t xml:space="preserve">DETERGENTE OMO LIQUIDO BIDÓN 3 LITROS </t>
  </si>
  <si>
    <t>DETERGENTE SOFT LIQUIDO BIDÓN DE 3 LITROS</t>
  </si>
  <si>
    <t>PAPEL HIGIENICO ECONOMICO 23 MTS</t>
  </si>
  <si>
    <t>TOALLA NOVA 70 MTS</t>
  </si>
  <si>
    <t>DESODRANTE EN SPRIE DE MUJER (DOVE)</t>
  </si>
  <si>
    <t>AMPOLLETAS</t>
  </si>
  <si>
    <t>SHAMPOO DOVE</t>
  </si>
  <si>
    <t>ACONDICIONADOR DOVE</t>
  </si>
  <si>
    <t xml:space="preserve">SHAMPOO FAMILAND </t>
  </si>
  <si>
    <t>ACONDICIONADOR FAMILAND</t>
  </si>
  <si>
    <t xml:space="preserve">VANISH BLANCO 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</si>
  <si>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</si>
  <si>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</si>
  <si>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</si>
  <si>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</si>
  <si>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</si>
  <si>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</si>
  <si>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</si>
  <si>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</si>
  <si>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</si>
  <si>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</si>
  <si>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</si>
  <si>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</si>
  <si>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</si>
  <si>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</si>
  <si>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</si>
  <si>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</si>
  <si>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</si>
  <si>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</si>
  <si>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CLORO GEL CLOROX</t>
  </si>
  <si>
    <t>PASTILLAS DE CLORO CHICAS PARA BAÑO</t>
  </si>
  <si>
    <t>A092</t>
  </si>
  <si>
    <t>A093</t>
  </si>
  <si>
    <t>A094</t>
  </si>
  <si>
    <t>A095</t>
  </si>
  <si>
    <t>A096</t>
  </si>
  <si>
    <t>A097</t>
  </si>
  <si>
    <t>OBSERVACIÓN</t>
  </si>
  <si>
    <t>A098</t>
  </si>
  <si>
    <t>A099</t>
  </si>
  <si>
    <t>A100</t>
  </si>
  <si>
    <t>PASTILLA AZUL PARA INODORO</t>
  </si>
  <si>
    <t>detalle</t>
  </si>
  <si>
    <t xml:space="preserve">stock </t>
  </si>
  <si>
    <t xml:space="preserve">compra </t>
  </si>
  <si>
    <t xml:space="preserve">detergente saca mancha lavanda </t>
  </si>
  <si>
    <t xml:space="preserve">detergente saca mancha floral </t>
  </si>
  <si>
    <t xml:space="preserve">detergente virginia </t>
  </si>
  <si>
    <t xml:space="preserve">omo para diluir </t>
  </si>
  <si>
    <t xml:space="preserve">omo liquido 400ml </t>
  </si>
  <si>
    <t>shampoo familand granada</t>
  </si>
  <si>
    <t xml:space="preserve">acondicionador familand </t>
  </si>
  <si>
    <t>shampoo dove</t>
  </si>
  <si>
    <t xml:space="preserve">acondicionador dove </t>
  </si>
  <si>
    <t xml:space="preserve">shampoo ballerina </t>
  </si>
  <si>
    <t xml:space="preserve">acondicionador ballerina </t>
  </si>
  <si>
    <t xml:space="preserve">spum de bebe </t>
  </si>
  <si>
    <t xml:space="preserve">detergente bio </t>
  </si>
  <si>
    <t xml:space="preserve">cloro gel limon </t>
  </si>
  <si>
    <t xml:space="preserve">cloro gel lavanda </t>
  </si>
  <si>
    <t xml:space="preserve">trapero deseshable limon </t>
  </si>
  <si>
    <t xml:space="preserve">trapero deseshable lavanda </t>
  </si>
  <si>
    <t xml:space="preserve">desodorante ambiental poett </t>
  </si>
  <si>
    <t>LIMPIA PISOS POETT ROSADO</t>
  </si>
  <si>
    <t>LIMPIA PISOS POETT MORADO OSCURO</t>
  </si>
  <si>
    <t>LIMPIA PISOS POETT MORADO CLARO</t>
  </si>
  <si>
    <t>LIMPIA PISOS SPUM COLOR AZUL</t>
  </si>
  <si>
    <t>LIMPIA PISOS SPUM COLOR ROJO</t>
  </si>
  <si>
    <t>LIMPIA PISOS AROMAX AZUL</t>
  </si>
  <si>
    <t>LIMPIA PISOS BRILLEX  AMARILLO</t>
  </si>
  <si>
    <t>LIMPIA PISOS AROMAX ROSADO</t>
  </si>
  <si>
    <t>LIMPIA PISOS AROMAX MORADO</t>
  </si>
  <si>
    <t>LIMPIA PISOS POETT AZUL</t>
  </si>
  <si>
    <t>DESODRANTE AMBIENTAL AROM LIMON</t>
  </si>
  <si>
    <t>DESODRANTE EN BARRA DE HOMBRE (NIVEA)</t>
  </si>
  <si>
    <t>PAPEL HIGIENICO NOBLE 23 MTS</t>
  </si>
  <si>
    <t>SERVILLETAS SUAN</t>
  </si>
  <si>
    <t>TOALLA NOVA SUAN</t>
  </si>
  <si>
    <t>TOALLA NOVA</t>
  </si>
  <si>
    <t>PASTA DE DIENTES AQUAFRESH</t>
  </si>
  <si>
    <t>PASTA DE DIENTES COLGATE</t>
  </si>
  <si>
    <t>PRESTO BARBA DE HOMBRE GILLETTE 3</t>
  </si>
  <si>
    <t>PRESTO BARBA DE HOMBRE SCHICK</t>
  </si>
  <si>
    <t>PRESTO BARBA DE HOMBRE WILKINSON</t>
  </si>
  <si>
    <t>PRESTO BARBA DE MUJER SCHICK</t>
  </si>
  <si>
    <t>PRESTO BARBA DE MUJER VENUS</t>
  </si>
  <si>
    <t>TRAPEROS DESECHABLES TOLL MORADO</t>
  </si>
  <si>
    <t>TRAPEROS DESECHABLES TOLL ROSADO</t>
  </si>
  <si>
    <t>TRAPEROS DESECHABLES TOLL AMARILLO</t>
  </si>
  <si>
    <t>TODO INSECTO BAYGON 450ML</t>
  </si>
  <si>
    <t>DISCO ACTIVO DE INODORO MORADO</t>
  </si>
  <si>
    <t>DISCO ACTIVO DE INODORO AMARILLO</t>
  </si>
  <si>
    <t>DESODRANTE AMBIENTAL POETT ROSADO OSCURO</t>
  </si>
  <si>
    <t>DESODRANTE AMBIENTAL POETT MORADO</t>
  </si>
  <si>
    <t>PILAS AA</t>
  </si>
  <si>
    <t>DETERGENTE EN POLVO QUITA MANCHA ROSADO</t>
  </si>
  <si>
    <t>DETERGENTE EN POLVO QUITA MANCHA MORADO</t>
  </si>
  <si>
    <t>DETERGENTE EN POLVO VIRGINIA</t>
  </si>
  <si>
    <t>CLORINDA CLORO GEL EXCEL MORADO</t>
  </si>
  <si>
    <t>CLORINDA CLORO GEL EXCEL AMARILLO</t>
  </si>
  <si>
    <t>LUSTRA MUEBLES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</si>
  <si>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</si>
  <si>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</si>
  <si>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</si>
  <si>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</si>
  <si>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</si>
  <si>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</si>
  <si>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</si>
  <si>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</si>
  <si>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</si>
  <si>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</si>
  <si>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</si>
  <si>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</si>
  <si>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</si>
  <si>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</si>
  <si>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</si>
  <si>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</si>
  <si>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</si>
  <si>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-</t>
  </si>
  <si>
    <t>ESCOBILLON</t>
  </si>
  <si>
    <t>A118</t>
  </si>
  <si>
    <t>PALAS</t>
  </si>
  <si>
    <t>GANANCIA TOTAL DE CADA PRODFUCTO</t>
  </si>
  <si>
    <t>A119</t>
  </si>
  <si>
    <t>DETERGENTE PREMIUM AROMA OMO DE 3 LITROS (PACK DE 4 UNID)</t>
  </si>
  <si>
    <t>DETERGENTE PREMIUM AROMA OMO DE 3 LITROS (1 UNID)</t>
  </si>
  <si>
    <t>DETERGENTE BIO KLINNING AZUL</t>
  </si>
  <si>
    <t>DETERGENTE BIO KLINNING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</si>
</sst>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4" fontId="0" fillId="0" borderId="0" xfId="0" applyNumberFormat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/>
    <xf numFmtId="0" fontId="5" fillId="0" borderId="0" xfId="0" applyFont="1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0" fontId="1" fillId="5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64" formatCode="_-&quot;$&quot;* #,##0_-;\-&quot;$&quot;* #,##0_-;_-&quot;$&quot;* &quot;-&quot;??_-;_-@_-"/>
    </dxf>
    <dxf>
      <numFmt numFmtId="164" formatCode="_-&quot;$&quot;* #,##0_-;\-&quot;$&quot;* #,##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&quot;$&quot;* #,##0_-;\-&quot;$&quot;* #,##0_-;_-&quot;$&quot;* &quot;-&quot;??_-;_-@_-"/>
    </dxf>
    <dxf>
      <numFmt numFmtId="34" formatCode="_-&quot;$&quot;* #,##0.00_-;\-&quot;$&quot;* #,##0.00_-;_-&quot;$&quot;* &quot;-&quot;??_-;_-@_-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29F36-5F65-4EBD-834E-D37692D97C02}" name="BASEDEDATOS" displayName="BASEDEDATOS" ref="A5:D124" totalsRowShown="0">
  <autoFilter ref="A5:D124" xr:uid="{44A29F36-5F65-4EBD-834E-D37692D97C02}"/>
  <tableColumns count="4">
    <tableColumn id="1" xr3:uid="{10CFFD34-3CD5-4C93-AABF-427C3C737B1B}" name="CODIGO"/>
    <tableColumn id="2" xr3:uid="{1B7DC1EA-7318-4B6F-9884-A6B0B431DC36}" name="NOMBRE DEL PRODUCTO"/>
    <tableColumn id="3" xr3:uid="{0EABE848-2340-4037-BD5D-DF579EC24D59}" name="CATEGORIA"/>
    <tableColumn id="4" xr3:uid="{B33FE62C-624A-46B0-8EC8-97008D7EA313}" name="OBSERV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7C9F69-CB64-41E5-87F1-DFBD2B959605}" name="INVENTARIO" displayName="INVENTARIO" ref="A6:K125" totalsRowShown="0" headerRowDxfId="25" dataDxfId="24">
  <autoFilter ref="A6:K125" xr:uid="{907C9F69-CB64-41E5-87F1-DFBD2B959605}"/>
  <sortState xmlns:xlrd2="http://schemas.microsoft.com/office/spreadsheetml/2017/richdata2" ref="A113:J113">
    <sortCondition descending="1" ref="B6:B121"/>
  </sortState>
  <tableColumns count="11">
    <tableColumn id="1" xr3:uid="{CA7C4EF5-1C28-4B08-A493-0E009024F4A3}" name="CODIGO" dataDxfId="23"/>
    <tableColumn id="2" xr3:uid="{41D62DAF-863F-4A90-9603-E4E3AB77B6AD}" name="NOMBRE DEL PRODUCTO" dataDxfId="22">
      <calculatedColumnFormula>IFERROR(VLOOKUP(INVENTARIO[[#This Row],[CODIGO]],BASEDEDATOS[],2,FALSE),"NO EXISTE")</calculatedColumnFormula>
    </tableColumn>
    <tableColumn id="3" xr3:uid="{0E216D58-879E-444F-B245-DCF497709CCD}" name="CATEGORIA" dataDxfId="21">
      <calculatedColumnFormula>IFERROR(VLOOKUP(INVENTARIO[[#This Row],[CODIGO]],BASEDEDATOS[],3,FALSE),"NO EXISTE")</calculatedColumnFormula>
    </tableColumn>
    <tableColumn id="4" xr3:uid="{B0E24613-FF95-459D-8D78-42945A8D04BD}" name="COMPRAS" dataDxfId="20">
      <calculatedColumnFormula array="1">SUMPRODUCT(SUMIF(COMPRAS[CODIGO],INVENTARIO!A6:A8,COMPRAS[CANTIDAD]))</calculatedColumnFormula>
    </tableColumn>
    <tableColumn id="5" xr3:uid="{391176B9-BB8E-4BCE-9A9D-079F7E72DF0C}" name="VENTAS" dataDxfId="19">
      <calculatedColumnFormula array="1">SUM(SUMIF(VENTAS[CODIGO],INVENTARIO!A6:A9,VENTAS[CANTIDAD]))</calculatedColumnFormula>
    </tableColumn>
    <tableColumn id="6" xr3:uid="{9BA64716-19E2-4AD7-8F16-F43B0562A853}" name="STOCK" dataDxfId="18">
      <calculatedColumnFormula>INVENTARIO[[#This Row],[COMPRAS]]-INVENTARIO[[#This Row],[VENTAS]]</calculatedColumnFormula>
    </tableColumn>
    <tableColumn id="7" xr3:uid="{689C5D8D-4409-4A39-8571-5BB916AAD643}" name="COSTO UNITARIO" dataDxfId="17"/>
    <tableColumn id="8" xr3:uid="{3CCEF8E9-232A-4BD0-B681-CF417046AF9C}" name="PRECIO DE VENTA" dataDxfId="16"/>
    <tableColumn id="9" xr3:uid="{7CC1D1D7-7701-43D3-976D-79F98D71F255}" name="UTILIDAD POR PRODUCTO" dataDxfId="15">
      <calculatedColumnFormula>INVENTARIO[[#This Row],[PRECIO DE VENTA]]-INVENTARIO[[#This Row],[COSTO UNITARIO]]</calculatedColumnFormula>
    </tableColumn>
    <tableColumn id="10" xr3:uid="{0747C02E-68C8-4F6B-A887-3FD71A0C1191}" name="VALOR DEL INVENTARIO" dataDxfId="14">
      <calculatedColumnFormula>INVENTARIO[[#This Row],[COSTO UNITARIO]]*INVENTARIO[[#This Row],[STOCK]]</calculatedColumnFormula>
    </tableColumn>
    <tableColumn id="11" xr3:uid="{29B69CB5-BBCF-4FF5-A130-88E4FE63425A}" name="GANANCIA TOTAL DE CADA PRODFUCTO" dataDxfId="13">
      <calculatedColumnFormula>+INVENTARIO[[#This Row],[VENTAS]]*INVENTARIO[[#This Row],[UTILIDAD POR PRODUCTO]]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242DD-5401-4AB8-9282-C3DEF0674EA2}" name="COMPRAS" displayName="COMPRAS" ref="A6:I63" totalsRowShown="0" headerRowDxfId="12">
  <autoFilter ref="A6:I63" xr:uid="{1D1242DD-5401-4AB8-9282-C3DEF0674EA2}"/>
  <tableColumns count="9">
    <tableColumn id="1" xr3:uid="{A2EF5C91-8CC9-4E63-B6C3-DE6EF0A9CDEC}" name="CODIGO" dataDxfId="11"/>
    <tableColumn id="2" xr3:uid="{8168FD36-583E-490C-A898-2A8F03B06510}" name="FECHA" dataDxfId="10"/>
    <tableColumn id="3" xr3:uid="{D11088D2-DFDB-4A9D-8269-66C3EC5E6E58}" name="MES" dataDxfId="9">
      <calculatedColumnFormula>TEXT(COMPRAS[[#This Row],[FECHA]],"[$-es-CL]mmmm")</calculatedColumnFormula>
    </tableColumn>
    <tableColumn id="4" xr3:uid="{CF8905A0-5629-4E50-BCF2-2127A943FCA7}" name="AÑO" dataDxfId="8">
      <calculatedColumnFormula array="1">YEAR(IF(ISNUMBER(COMPRAS[[#This Row],[FECHA]]),COMPRAS[[#This Row],[FECHA]],FECHA.VALOR(COMPRAS[[#This Row],[FECHA]])))</calculatedColumnFormula>
    </tableColumn>
    <tableColumn id="5" xr3:uid="{E51E0BBC-2D41-409A-BE6F-F1648F2535FF}" name="NOMBRE DEL PRODUCTO">
      <calculatedColumnFormula>IFERROR(VLOOKUP(COMPRAS[[#This Row],[CODIGO]],INVENTARIO[],2,FALSE),"NO EXISTE")</calculatedColumnFormula>
    </tableColumn>
    <tableColumn id="6" xr3:uid="{2AD6C47E-5D38-4743-8C1B-8B7EDC7D86A7}" name="CATEGORIA" dataDxfId="7">
      <calculatedColumnFormula>IFERROR(VLOOKUP(COMPRAS[[#This Row],[CODIGO]],INVENTARIO[],3,FALSE),"NO EXISTE")</calculatedColumnFormula>
    </tableColumn>
    <tableColumn id="7" xr3:uid="{2BF0C6C1-6CCE-4F25-B19F-BA6D4A1ADCCA}" name="COSTO UNITARIO" dataDxfId="6"/>
    <tableColumn id="8" xr3:uid="{3AEC48F5-DBEC-4848-9D63-585BB93EEE41}" name="CANTIDAD"/>
    <tableColumn id="9" xr3:uid="{8C3C0AE3-4434-413D-8D79-EA4F2F77E491}" name="TOTAL" dataDxfId="5">
      <calculatedColumnFormula>COMPRAS[[#This Row],[COSTO UNITARIO]]*COMPRAS[[#This Row],[CANTIDAD]]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D03111-408D-4FF5-AC13-F2D5F3DBD841}" name="VENTAS" displayName="VENTAS" ref="A6:K63" totalsRowShown="0" headerRowDxfId="4">
  <autoFilter ref="A6:K63" xr:uid="{7CD03111-408D-4FF5-AC13-F2D5F3DBD841}"/>
  <tableColumns count="11">
    <tableColumn id="1" xr3:uid="{13F4E473-C777-4982-9356-D57841DD3093}" name="CODIGO"/>
    <tableColumn id="2" xr3:uid="{DED8197A-9AAB-44BA-8FED-2423C80CE003}" name="FECHA"/>
    <tableColumn id="3" xr3:uid="{5EBC46E6-1953-4569-B1E9-12F93E3C8E8A}" name="MES">
      <calculatedColumnFormula>TEXT(VENTAS[[#This Row],[FECHA]],"[$-es-CL]mmmm")</calculatedColumnFormula>
    </tableColumn>
    <tableColumn id="4" xr3:uid="{A37686DC-19E7-43F8-8CF7-C50681061B2B}" name="AÑO">
      <calculatedColumnFormula array="1">YEAR(IF(ISNUMBER(VENTAS[[#This Row],[FECHA]]),VENTAS[[#This Row],[FECHA]],FECHA.VALOR(VENTAS[[#This Row],[FECHA]])))</calculatedColumnFormula>
    </tableColumn>
    <tableColumn id="5" xr3:uid="{34EBE65F-990C-4955-A0A2-B883176F1D87}" name="NOMBRE DEL PRODUCTO">
      <calculatedColumnFormula>IFERROR(VLOOKUP(VENTAS[[#This Row],[CODIGO]],INVENTARIO[],2,FALSE),"NO EXISTE")</calculatedColumnFormula>
    </tableColumn>
    <tableColumn id="6" xr3:uid="{E071BB0B-46DA-4CC6-8B7C-B6C11B947644}" name="CATEGORIA">
      <calculatedColumnFormula>IFERROR(VLOOKUP(VENTAS[[#This Row],[CODIGO]],INVENTARIO[],3,FALSE),"NO EXISTE")</calculatedColumnFormula>
    </tableColumn>
    <tableColumn id="7" xr3:uid="{142EA428-7C1C-4C87-9A1D-A9B1A3588D4D}" name="PRECIO DE VENTA" dataDxfId="3">
      <calculatedColumnFormula>IFERROR(VLOOKUP(VENTAS[[#This Row],[CODIGO]],INVENTARIO[],8,FALSE),"NO EXISTE")</calculatedColumnFormula>
    </tableColumn>
    <tableColumn id="8" xr3:uid="{3F88D34C-5580-45E3-8FE9-103AF053AB39}" name="COSTO UNITARIO" dataDxfId="2">
      <calculatedColumnFormula>IFERROR(VLOOKUP(VENTAS[[#This Row],[CODIGO]],INVENTARIO[],7,FALSE),"NO EXISTE")</calculatedColumnFormula>
    </tableColumn>
    <tableColumn id="9" xr3:uid="{C389657C-2E8D-4539-BA39-0943BB956864}" name="CANTIDAD"/>
    <tableColumn id="10" xr3:uid="{80C8A8EF-6636-4EE7-AFE2-D24C230F4A4C}" name="TOTAL DE LA VENTA" dataDxfId="1">
      <calculatedColumnFormula>VENTAS[[#This Row],[PRECIO DE VENTA]]*VENTAS[[#This Row],[CANTIDAD]]</calculatedColumnFormula>
    </tableColumn>
    <tableColumn id="11" xr3:uid="{5521BB38-4603-41DC-B812-3F97B630B1AD}" name="UTILIDAD" dataDxfId="0">
      <calculatedColumnFormula>VENTAS[[#This Row],[TOTAL DE LA VENTA]]-VENTAS[[#This Row],[COSTO UNITARIO]]*VENTAS[[#This Row],[CANTIDAD]]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0F78-AD35-42B3-8E50-46C9703EB16E}">
  <dimension ref="A1:D124"/>
  <sheetViews>
    <sheetView topLeftCell="A118" workbookViewId="0">
      <selection activeCell="B20" sqref="B20"/>
    </sheetView>
  </sheetViews>
  <sheetFormatPr baseColWidth="10" defaultRowHeight="15" x14ac:dyDescent="0.25"/>
  <cols>
    <col min="2" max="2" width="61" bestFit="1" customWidth="1"/>
    <col min="3" max="3" width="26.5703125" customWidth="1"/>
    <col min="4" max="4" width="19.140625" bestFit="1" customWidth="1"/>
  </cols>
  <sheetData>
    <row r="1" spans="1:4" x14ac:dyDescent="0.25">
      <c r="A1" s="15" t="s">
        <v>3</v>
      </c>
      <c r="B1" s="15"/>
      <c r="C1" s="15"/>
    </row>
    <row r="2" spans="1:4" x14ac:dyDescent="0.25">
      <c r="A2" s="15"/>
      <c r="B2" s="15"/>
      <c r="C2" s="15"/>
    </row>
    <row r="3" spans="1:4" x14ac:dyDescent="0.25">
      <c r="A3" s="15"/>
      <c r="B3" s="15"/>
      <c r="C3" s="15"/>
    </row>
    <row r="4" spans="1:4" x14ac:dyDescent="0.25">
      <c r="A4" s="15"/>
      <c r="B4" s="15"/>
      <c r="C4" s="15"/>
    </row>
    <row r="5" spans="1:4" x14ac:dyDescent="0.25">
      <c r="A5" t="s">
        <v>0</v>
      </c>
      <c r="B5" t="s">
        <v>1</v>
      </c>
      <c r="C5" t="s">
        <v>2</v>
      </c>
      <c r="D5" t="s">
        <v>203</v>
      </c>
    </row>
    <row r="6" spans="1:4" x14ac:dyDescent="0.25">
      <c r="A6" t="s">
        <v>4</v>
      </c>
      <c r="B6" t="s">
        <v>30</v>
      </c>
      <c r="C6" t="s">
        <v>95</v>
      </c>
    </row>
    <row r="7" spans="1:4" x14ac:dyDescent="0.25">
      <c r="A7" t="s">
        <v>5</v>
      </c>
      <c r="B7" t="s">
        <v>31</v>
      </c>
      <c r="C7" t="s">
        <v>95</v>
      </c>
    </row>
    <row r="8" spans="1:4" x14ac:dyDescent="0.25">
      <c r="A8" t="s">
        <v>6</v>
      </c>
      <c r="B8" t="s">
        <v>32</v>
      </c>
      <c r="C8" t="s">
        <v>95</v>
      </c>
    </row>
    <row r="9" spans="1:4" x14ac:dyDescent="0.25">
      <c r="A9" t="s">
        <v>7</v>
      </c>
      <c r="B9" t="s">
        <v>33</v>
      </c>
      <c r="C9" t="s">
        <v>95</v>
      </c>
    </row>
    <row r="10" spans="1:4" x14ac:dyDescent="0.25">
      <c r="A10" t="s">
        <v>8</v>
      </c>
      <c r="B10" t="s">
        <v>34</v>
      </c>
      <c r="C10" t="s">
        <v>95</v>
      </c>
    </row>
    <row r="11" spans="1:4" x14ac:dyDescent="0.25">
      <c r="A11" t="s">
        <v>9</v>
      </c>
      <c r="B11" t="s">
        <v>35</v>
      </c>
      <c r="C11" t="s">
        <v>95</v>
      </c>
    </row>
    <row r="12" spans="1:4" x14ac:dyDescent="0.25">
      <c r="A12" t="s">
        <v>10</v>
      </c>
      <c r="B12" t="s">
        <v>36</v>
      </c>
      <c r="C12" t="s">
        <v>95</v>
      </c>
    </row>
    <row r="13" spans="1:4" x14ac:dyDescent="0.25">
      <c r="A13" t="s">
        <v>11</v>
      </c>
      <c r="B13" t="s">
        <v>290</v>
      </c>
      <c r="C13" t="s">
        <v>95</v>
      </c>
    </row>
    <row r="14" spans="1:4" x14ac:dyDescent="0.25">
      <c r="A14" t="s">
        <v>12</v>
      </c>
      <c r="B14" t="s">
        <v>38</v>
      </c>
      <c r="C14" t="s">
        <v>95</v>
      </c>
    </row>
    <row r="15" spans="1:4" x14ac:dyDescent="0.25">
      <c r="A15" t="s">
        <v>13</v>
      </c>
      <c r="B15" t="s">
        <v>125</v>
      </c>
      <c r="C15" t="s">
        <v>95</v>
      </c>
    </row>
    <row r="16" spans="1:4" x14ac:dyDescent="0.25">
      <c r="A16" t="s">
        <v>14</v>
      </c>
      <c r="B16" t="s">
        <v>127</v>
      </c>
      <c r="C16" t="s">
        <v>95</v>
      </c>
    </row>
    <row r="17" spans="1:4" x14ac:dyDescent="0.25">
      <c r="A17" t="s">
        <v>15</v>
      </c>
      <c r="B17" t="s">
        <v>166</v>
      </c>
      <c r="C17" t="s">
        <v>95</v>
      </c>
      <c r="D17" t="s">
        <v>148</v>
      </c>
    </row>
    <row r="18" spans="1:4" x14ac:dyDescent="0.25">
      <c r="A18" t="s">
        <v>16</v>
      </c>
      <c r="B18" t="s">
        <v>292</v>
      </c>
      <c r="C18" t="s">
        <v>95</v>
      </c>
      <c r="D18" t="s">
        <v>148</v>
      </c>
    </row>
    <row r="19" spans="1:4" x14ac:dyDescent="0.25">
      <c r="A19" t="s">
        <v>17</v>
      </c>
      <c r="B19" t="s">
        <v>293</v>
      </c>
      <c r="C19" t="s">
        <v>95</v>
      </c>
      <c r="D19" t="s">
        <v>148</v>
      </c>
    </row>
    <row r="20" spans="1:4" x14ac:dyDescent="0.25">
      <c r="A20" t="s">
        <v>18</v>
      </c>
      <c r="B20" t="s">
        <v>167</v>
      </c>
      <c r="C20" t="s">
        <v>95</v>
      </c>
      <c r="D20" t="s">
        <v>148</v>
      </c>
    </row>
    <row r="21" spans="1:4" x14ac:dyDescent="0.25">
      <c r="A21" t="s">
        <v>19</v>
      </c>
      <c r="B21" t="s">
        <v>261</v>
      </c>
      <c r="C21" t="s">
        <v>95</v>
      </c>
    </row>
    <row r="22" spans="1:4" x14ac:dyDescent="0.25">
      <c r="A22" t="s">
        <v>20</v>
      </c>
      <c r="B22" t="s">
        <v>262</v>
      </c>
      <c r="C22" t="s">
        <v>95</v>
      </c>
    </row>
    <row r="23" spans="1:4" x14ac:dyDescent="0.25">
      <c r="A23" t="s">
        <v>21</v>
      </c>
      <c r="B23" t="s">
        <v>263</v>
      </c>
      <c r="C23" t="s">
        <v>95</v>
      </c>
    </row>
    <row r="24" spans="1:4" x14ac:dyDescent="0.25">
      <c r="A24" t="s">
        <v>22</v>
      </c>
      <c r="B24" t="s">
        <v>42</v>
      </c>
      <c r="C24" t="s">
        <v>95</v>
      </c>
    </row>
    <row r="25" spans="1:4" x14ac:dyDescent="0.25">
      <c r="A25" t="s">
        <v>23</v>
      </c>
      <c r="B25" t="s">
        <v>43</v>
      </c>
      <c r="C25" t="s">
        <v>95</v>
      </c>
    </row>
    <row r="26" spans="1:4" x14ac:dyDescent="0.25">
      <c r="A26" t="s">
        <v>24</v>
      </c>
      <c r="B26" t="s">
        <v>176</v>
      </c>
      <c r="C26" t="s">
        <v>95</v>
      </c>
      <c r="D26" t="s">
        <v>148</v>
      </c>
    </row>
    <row r="27" spans="1:4" x14ac:dyDescent="0.25">
      <c r="A27" t="s">
        <v>25</v>
      </c>
      <c r="B27" t="s">
        <v>145</v>
      </c>
      <c r="C27" t="s">
        <v>95</v>
      </c>
      <c r="D27" t="s">
        <v>148</v>
      </c>
    </row>
    <row r="28" spans="1:4" x14ac:dyDescent="0.25">
      <c r="A28" t="s">
        <v>26</v>
      </c>
      <c r="B28" t="s">
        <v>37</v>
      </c>
      <c r="C28" t="s">
        <v>96</v>
      </c>
    </row>
    <row r="29" spans="1:4" x14ac:dyDescent="0.25">
      <c r="A29" t="s">
        <v>27</v>
      </c>
      <c r="B29" t="s">
        <v>52</v>
      </c>
      <c r="C29" t="s">
        <v>96</v>
      </c>
      <c r="D29" t="s">
        <v>148</v>
      </c>
    </row>
    <row r="30" spans="1:4" s="10" customFormat="1" x14ac:dyDescent="0.25">
      <c r="A30" t="s">
        <v>28</v>
      </c>
      <c r="B30" s="10" t="s">
        <v>195</v>
      </c>
      <c r="C30" s="10" t="s">
        <v>96</v>
      </c>
      <c r="D30" s="10" t="s">
        <v>148</v>
      </c>
    </row>
    <row r="31" spans="1:4" x14ac:dyDescent="0.25">
      <c r="A31" t="s">
        <v>29</v>
      </c>
      <c r="B31" t="s">
        <v>132</v>
      </c>
      <c r="C31" t="s">
        <v>96</v>
      </c>
    </row>
    <row r="32" spans="1:4" x14ac:dyDescent="0.25">
      <c r="A32" t="s">
        <v>47</v>
      </c>
      <c r="B32" t="s">
        <v>134</v>
      </c>
      <c r="C32" t="s">
        <v>96</v>
      </c>
    </row>
    <row r="33" spans="1:4" x14ac:dyDescent="0.25">
      <c r="A33" t="s">
        <v>48</v>
      </c>
      <c r="B33" t="s">
        <v>264</v>
      </c>
      <c r="C33" t="s">
        <v>96</v>
      </c>
    </row>
    <row r="34" spans="1:4" x14ac:dyDescent="0.25">
      <c r="A34" t="s">
        <v>49</v>
      </c>
      <c r="B34" t="s">
        <v>265</v>
      </c>
      <c r="C34" t="s">
        <v>96</v>
      </c>
    </row>
    <row r="35" spans="1:4" x14ac:dyDescent="0.25">
      <c r="A35" t="s">
        <v>50</v>
      </c>
      <c r="B35" t="s">
        <v>149</v>
      </c>
      <c r="C35" t="s">
        <v>97</v>
      </c>
    </row>
    <row r="36" spans="1:4" x14ac:dyDescent="0.25">
      <c r="A36" t="s">
        <v>51</v>
      </c>
      <c r="B36" t="s">
        <v>159</v>
      </c>
      <c r="C36" t="s">
        <v>97</v>
      </c>
    </row>
    <row r="37" spans="1:4" x14ac:dyDescent="0.25">
      <c r="A37" t="s">
        <v>53</v>
      </c>
      <c r="B37" t="s">
        <v>160</v>
      </c>
      <c r="C37" t="s">
        <v>97</v>
      </c>
    </row>
    <row r="38" spans="1:4" x14ac:dyDescent="0.25">
      <c r="A38" t="s">
        <v>54</v>
      </c>
      <c r="B38" t="s">
        <v>161</v>
      </c>
      <c r="C38" t="s">
        <v>97</v>
      </c>
    </row>
    <row r="39" spans="1:4" x14ac:dyDescent="0.25">
      <c r="A39" t="s">
        <v>55</v>
      </c>
      <c r="B39" t="s">
        <v>39</v>
      </c>
      <c r="C39" t="s">
        <v>97</v>
      </c>
    </row>
    <row r="40" spans="1:4" x14ac:dyDescent="0.25">
      <c r="A40" t="s">
        <v>56</v>
      </c>
      <c r="B40" t="s">
        <v>40</v>
      </c>
      <c r="C40" t="s">
        <v>97</v>
      </c>
    </row>
    <row r="41" spans="1:4" x14ac:dyDescent="0.25">
      <c r="A41" t="s">
        <v>57</v>
      </c>
      <c r="B41" t="s">
        <v>162</v>
      </c>
      <c r="C41" t="s">
        <v>97</v>
      </c>
    </row>
    <row r="42" spans="1:4" x14ac:dyDescent="0.25">
      <c r="A42" t="s">
        <v>58</v>
      </c>
      <c r="B42" t="s">
        <v>163</v>
      </c>
      <c r="C42" t="s">
        <v>97</v>
      </c>
      <c r="D42" t="s">
        <v>148</v>
      </c>
    </row>
    <row r="43" spans="1:4" x14ac:dyDescent="0.25">
      <c r="A43" t="s">
        <v>59</v>
      </c>
      <c r="B43" t="s">
        <v>136</v>
      </c>
      <c r="C43" t="s">
        <v>97</v>
      </c>
    </row>
    <row r="44" spans="1:4" x14ac:dyDescent="0.25">
      <c r="A44" t="s">
        <v>60</v>
      </c>
      <c r="B44" t="s">
        <v>266</v>
      </c>
      <c r="C44" t="s">
        <v>97</v>
      </c>
    </row>
    <row r="45" spans="1:4" x14ac:dyDescent="0.25">
      <c r="A45" t="s">
        <v>61</v>
      </c>
      <c r="B45" t="s">
        <v>41</v>
      </c>
      <c r="C45" t="s">
        <v>97</v>
      </c>
    </row>
    <row r="46" spans="1:4" x14ac:dyDescent="0.25">
      <c r="A46" t="s">
        <v>62</v>
      </c>
      <c r="B46" t="s">
        <v>44</v>
      </c>
      <c r="C46" t="s">
        <v>97</v>
      </c>
    </row>
    <row r="47" spans="1:4" x14ac:dyDescent="0.25">
      <c r="A47" t="s">
        <v>67</v>
      </c>
      <c r="B47" t="s">
        <v>79</v>
      </c>
      <c r="C47" t="s">
        <v>97</v>
      </c>
    </row>
    <row r="48" spans="1:4" x14ac:dyDescent="0.25">
      <c r="A48" t="s">
        <v>68</v>
      </c>
      <c r="B48" t="s">
        <v>233</v>
      </c>
      <c r="C48" t="s">
        <v>98</v>
      </c>
    </row>
    <row r="49" spans="1:3" x14ac:dyDescent="0.25">
      <c r="A49" t="s">
        <v>69</v>
      </c>
      <c r="B49" t="s">
        <v>232</v>
      </c>
      <c r="C49" t="s">
        <v>98</v>
      </c>
    </row>
    <row r="50" spans="1:3" x14ac:dyDescent="0.25">
      <c r="A50" t="s">
        <v>70</v>
      </c>
      <c r="B50" t="s">
        <v>235</v>
      </c>
      <c r="C50" t="s">
        <v>98</v>
      </c>
    </row>
    <row r="51" spans="1:3" x14ac:dyDescent="0.25">
      <c r="A51" t="s">
        <v>71</v>
      </c>
      <c r="B51" t="s">
        <v>234</v>
      </c>
      <c r="C51" t="s">
        <v>98</v>
      </c>
    </row>
    <row r="52" spans="1:3" x14ac:dyDescent="0.25">
      <c r="A52" t="s">
        <v>72</v>
      </c>
      <c r="B52" t="s">
        <v>236</v>
      </c>
      <c r="C52" t="s">
        <v>98</v>
      </c>
    </row>
    <row r="53" spans="1:3" x14ac:dyDescent="0.25">
      <c r="A53" t="s">
        <v>73</v>
      </c>
      <c r="B53" t="s">
        <v>237</v>
      </c>
      <c r="C53" t="s">
        <v>98</v>
      </c>
    </row>
    <row r="54" spans="1:3" x14ac:dyDescent="0.25">
      <c r="A54" t="s">
        <v>74</v>
      </c>
      <c r="B54" t="s">
        <v>229</v>
      </c>
      <c r="C54" t="s">
        <v>98</v>
      </c>
    </row>
    <row r="55" spans="1:3" x14ac:dyDescent="0.25">
      <c r="A55" t="s">
        <v>75</v>
      </c>
      <c r="B55" t="s">
        <v>230</v>
      </c>
      <c r="C55" t="s">
        <v>98</v>
      </c>
    </row>
    <row r="56" spans="1:3" x14ac:dyDescent="0.25">
      <c r="A56" t="s">
        <v>85</v>
      </c>
      <c r="B56" t="s">
        <v>285</v>
      </c>
      <c r="C56" t="s">
        <v>98</v>
      </c>
    </row>
    <row r="57" spans="1:3" x14ac:dyDescent="0.25">
      <c r="A57" t="s">
        <v>86</v>
      </c>
      <c r="B57" t="s">
        <v>231</v>
      </c>
      <c r="C57" t="s">
        <v>98</v>
      </c>
    </row>
    <row r="58" spans="1:3" x14ac:dyDescent="0.25">
      <c r="A58" t="s">
        <v>87</v>
      </c>
      <c r="B58" t="s">
        <v>238</v>
      </c>
      <c r="C58" t="s">
        <v>98</v>
      </c>
    </row>
    <row r="59" spans="1:3" x14ac:dyDescent="0.25">
      <c r="A59" t="s">
        <v>88</v>
      </c>
      <c r="B59" t="s">
        <v>45</v>
      </c>
      <c r="C59" t="s">
        <v>98</v>
      </c>
    </row>
    <row r="60" spans="1:3" x14ac:dyDescent="0.25">
      <c r="A60" t="s">
        <v>89</v>
      </c>
      <c r="B60" t="s">
        <v>46</v>
      </c>
      <c r="C60" t="s">
        <v>98</v>
      </c>
    </row>
    <row r="61" spans="1:3" x14ac:dyDescent="0.25">
      <c r="A61" t="s">
        <v>105</v>
      </c>
      <c r="B61" t="s">
        <v>196</v>
      </c>
      <c r="C61" t="s">
        <v>98</v>
      </c>
    </row>
    <row r="62" spans="1:3" x14ac:dyDescent="0.25">
      <c r="A62" t="s">
        <v>124</v>
      </c>
      <c r="B62" t="s">
        <v>138</v>
      </c>
      <c r="C62" t="s">
        <v>98</v>
      </c>
    </row>
    <row r="63" spans="1:3" x14ac:dyDescent="0.25">
      <c r="A63" t="s">
        <v>126</v>
      </c>
      <c r="B63" t="s">
        <v>150</v>
      </c>
      <c r="C63" t="s">
        <v>99</v>
      </c>
    </row>
    <row r="64" spans="1:3" x14ac:dyDescent="0.25">
      <c r="A64" t="s">
        <v>128</v>
      </c>
      <c r="B64" t="s">
        <v>151</v>
      </c>
      <c r="C64" t="s">
        <v>99</v>
      </c>
    </row>
    <row r="65" spans="1:4" x14ac:dyDescent="0.25">
      <c r="A65" t="s">
        <v>129</v>
      </c>
      <c r="B65" t="s">
        <v>239</v>
      </c>
      <c r="C65" t="s">
        <v>99</v>
      </c>
    </row>
    <row r="66" spans="1:4" x14ac:dyDescent="0.25">
      <c r="A66" t="s">
        <v>131</v>
      </c>
      <c r="B66" t="s">
        <v>258</v>
      </c>
      <c r="C66" t="s">
        <v>99</v>
      </c>
    </row>
    <row r="67" spans="1:4" x14ac:dyDescent="0.25">
      <c r="A67" t="s">
        <v>133</v>
      </c>
      <c r="B67" t="s">
        <v>259</v>
      </c>
      <c r="C67" t="s">
        <v>99</v>
      </c>
    </row>
    <row r="68" spans="1:4" x14ac:dyDescent="0.25">
      <c r="A68" t="s">
        <v>135</v>
      </c>
      <c r="B68" t="s">
        <v>240</v>
      </c>
      <c r="C68" t="s">
        <v>100</v>
      </c>
    </row>
    <row r="69" spans="1:4" x14ac:dyDescent="0.25">
      <c r="A69" t="s">
        <v>137</v>
      </c>
      <c r="B69" t="s">
        <v>170</v>
      </c>
      <c r="C69" t="s">
        <v>100</v>
      </c>
    </row>
    <row r="70" spans="1:4" x14ac:dyDescent="0.25">
      <c r="A70" t="s">
        <v>139</v>
      </c>
      <c r="B70" t="s">
        <v>63</v>
      </c>
      <c r="C70" t="s">
        <v>100</v>
      </c>
    </row>
    <row r="71" spans="1:4" x14ac:dyDescent="0.25">
      <c r="A71" t="s">
        <v>140</v>
      </c>
      <c r="B71" t="s">
        <v>65</v>
      </c>
      <c r="C71" t="s">
        <v>100</v>
      </c>
    </row>
    <row r="72" spans="1:4" x14ac:dyDescent="0.25">
      <c r="A72" t="s">
        <v>141</v>
      </c>
      <c r="B72" t="s">
        <v>64</v>
      </c>
      <c r="C72" t="s">
        <v>100</v>
      </c>
    </row>
    <row r="73" spans="1:4" x14ac:dyDescent="0.25">
      <c r="A73" t="s">
        <v>143</v>
      </c>
      <c r="B73" t="s">
        <v>66</v>
      </c>
      <c r="C73" t="s">
        <v>100</v>
      </c>
    </row>
    <row r="74" spans="1:4" x14ac:dyDescent="0.25">
      <c r="A74" t="s">
        <v>144</v>
      </c>
      <c r="B74" t="s">
        <v>152</v>
      </c>
      <c r="C74" t="s">
        <v>100</v>
      </c>
    </row>
    <row r="75" spans="1:4" x14ac:dyDescent="0.25">
      <c r="A75" t="s">
        <v>146</v>
      </c>
      <c r="B75" t="s">
        <v>153</v>
      </c>
      <c r="C75" t="s">
        <v>100</v>
      </c>
    </row>
    <row r="76" spans="1:4" x14ac:dyDescent="0.25">
      <c r="A76" t="s">
        <v>147</v>
      </c>
      <c r="B76" t="s">
        <v>154</v>
      </c>
      <c r="C76" t="s">
        <v>100</v>
      </c>
    </row>
    <row r="77" spans="1:4" x14ac:dyDescent="0.25">
      <c r="A77" t="s">
        <v>157</v>
      </c>
      <c r="B77" t="s">
        <v>164</v>
      </c>
      <c r="C77" t="s">
        <v>100</v>
      </c>
      <c r="D77" t="s">
        <v>148</v>
      </c>
    </row>
    <row r="78" spans="1:4" x14ac:dyDescent="0.25">
      <c r="A78" t="s">
        <v>158</v>
      </c>
      <c r="B78" t="s">
        <v>165</v>
      </c>
      <c r="C78" t="s">
        <v>100</v>
      </c>
    </row>
    <row r="79" spans="1:4" x14ac:dyDescent="0.25">
      <c r="A79" t="s">
        <v>177</v>
      </c>
      <c r="B79" t="s">
        <v>156</v>
      </c>
      <c r="C79" t="s">
        <v>100</v>
      </c>
    </row>
    <row r="80" spans="1:4" x14ac:dyDescent="0.25">
      <c r="A80" t="s">
        <v>178</v>
      </c>
      <c r="B80" t="s">
        <v>168</v>
      </c>
      <c r="C80" t="s">
        <v>100</v>
      </c>
    </row>
    <row r="81" spans="1:3" x14ac:dyDescent="0.25">
      <c r="A81" t="s">
        <v>179</v>
      </c>
      <c r="B81" t="s">
        <v>241</v>
      </c>
      <c r="C81" t="s">
        <v>100</v>
      </c>
    </row>
    <row r="82" spans="1:3" x14ac:dyDescent="0.25">
      <c r="A82" t="s">
        <v>180</v>
      </c>
      <c r="B82" t="s">
        <v>242</v>
      </c>
      <c r="C82" t="s">
        <v>100</v>
      </c>
    </row>
    <row r="83" spans="1:3" x14ac:dyDescent="0.25">
      <c r="A83" t="s">
        <v>181</v>
      </c>
      <c r="B83" t="s">
        <v>130</v>
      </c>
      <c r="C83" t="s">
        <v>100</v>
      </c>
    </row>
    <row r="84" spans="1:3" x14ac:dyDescent="0.25">
      <c r="A84" t="s">
        <v>182</v>
      </c>
      <c r="B84" t="s">
        <v>243</v>
      </c>
      <c r="C84" t="s">
        <v>100</v>
      </c>
    </row>
    <row r="85" spans="1:3" x14ac:dyDescent="0.25">
      <c r="A85" t="s">
        <v>183</v>
      </c>
      <c r="B85" t="s">
        <v>244</v>
      </c>
      <c r="C85" t="s">
        <v>100</v>
      </c>
    </row>
    <row r="86" spans="1:3" x14ac:dyDescent="0.25">
      <c r="A86" t="s">
        <v>184</v>
      </c>
      <c r="B86" t="s">
        <v>169</v>
      </c>
      <c r="C86" t="s">
        <v>100</v>
      </c>
    </row>
    <row r="87" spans="1:3" x14ac:dyDescent="0.25">
      <c r="A87" t="s">
        <v>185</v>
      </c>
      <c r="B87" t="s">
        <v>81</v>
      </c>
      <c r="C87" t="s">
        <v>100</v>
      </c>
    </row>
    <row r="88" spans="1:3" x14ac:dyDescent="0.25">
      <c r="A88" t="s">
        <v>186</v>
      </c>
      <c r="B88" t="s">
        <v>245</v>
      </c>
      <c r="C88" t="s">
        <v>100</v>
      </c>
    </row>
    <row r="89" spans="1:3" x14ac:dyDescent="0.25">
      <c r="A89" t="s">
        <v>187</v>
      </c>
      <c r="B89" t="s">
        <v>246</v>
      </c>
      <c r="C89" t="s">
        <v>100</v>
      </c>
    </row>
    <row r="90" spans="1:3" x14ac:dyDescent="0.25">
      <c r="A90" t="s">
        <v>188</v>
      </c>
      <c r="B90" t="s">
        <v>247</v>
      </c>
      <c r="C90" t="s">
        <v>100</v>
      </c>
    </row>
    <row r="91" spans="1:3" x14ac:dyDescent="0.25">
      <c r="A91" t="s">
        <v>189</v>
      </c>
      <c r="B91" t="s">
        <v>248</v>
      </c>
      <c r="C91" t="s">
        <v>100</v>
      </c>
    </row>
    <row r="92" spans="1:3" x14ac:dyDescent="0.25">
      <c r="A92" t="s">
        <v>190</v>
      </c>
      <c r="B92" t="s">
        <v>249</v>
      </c>
      <c r="C92" t="s">
        <v>100</v>
      </c>
    </row>
    <row r="93" spans="1:3" x14ac:dyDescent="0.25">
      <c r="A93" t="s">
        <v>191</v>
      </c>
      <c r="B93" t="s">
        <v>250</v>
      </c>
      <c r="C93" t="s">
        <v>100</v>
      </c>
    </row>
    <row r="94" spans="1:3" x14ac:dyDescent="0.25">
      <c r="A94" t="s">
        <v>192</v>
      </c>
      <c r="B94" t="s">
        <v>251</v>
      </c>
      <c r="C94" t="s">
        <v>100</v>
      </c>
    </row>
    <row r="95" spans="1:3" x14ac:dyDescent="0.25">
      <c r="A95" t="s">
        <v>193</v>
      </c>
      <c r="B95" t="s">
        <v>82</v>
      </c>
      <c r="C95" t="s">
        <v>100</v>
      </c>
    </row>
    <row r="96" spans="1:3" x14ac:dyDescent="0.25">
      <c r="A96" t="s">
        <v>194</v>
      </c>
      <c r="B96" t="s">
        <v>83</v>
      </c>
      <c r="C96" t="s">
        <v>100</v>
      </c>
    </row>
    <row r="97" spans="1:3" x14ac:dyDescent="0.25">
      <c r="A97" t="s">
        <v>197</v>
      </c>
      <c r="B97" t="s">
        <v>142</v>
      </c>
      <c r="C97" t="s">
        <v>100</v>
      </c>
    </row>
    <row r="98" spans="1:3" x14ac:dyDescent="0.25">
      <c r="A98" t="s">
        <v>198</v>
      </c>
      <c r="B98" t="s">
        <v>142</v>
      </c>
      <c r="C98" t="s">
        <v>100</v>
      </c>
    </row>
    <row r="99" spans="1:3" x14ac:dyDescent="0.25">
      <c r="A99" t="s">
        <v>199</v>
      </c>
      <c r="B99" t="s">
        <v>172</v>
      </c>
      <c r="C99" t="s">
        <v>100</v>
      </c>
    </row>
    <row r="100" spans="1:3" x14ac:dyDescent="0.25">
      <c r="A100" t="s">
        <v>200</v>
      </c>
      <c r="B100" t="s">
        <v>173</v>
      </c>
      <c r="C100" t="s">
        <v>100</v>
      </c>
    </row>
    <row r="101" spans="1:3" x14ac:dyDescent="0.25">
      <c r="A101" t="s">
        <v>201</v>
      </c>
      <c r="B101" t="s">
        <v>174</v>
      </c>
      <c r="C101" t="s">
        <v>100</v>
      </c>
    </row>
    <row r="102" spans="1:3" x14ac:dyDescent="0.25">
      <c r="A102" t="s">
        <v>202</v>
      </c>
      <c r="B102" t="s">
        <v>175</v>
      </c>
      <c r="C102" t="s">
        <v>100</v>
      </c>
    </row>
    <row r="103" spans="1:3" x14ac:dyDescent="0.25">
      <c r="A103" t="s">
        <v>204</v>
      </c>
      <c r="B103" t="s">
        <v>155</v>
      </c>
      <c r="C103" t="s">
        <v>101</v>
      </c>
    </row>
    <row r="104" spans="1:3" x14ac:dyDescent="0.25">
      <c r="A104" t="s">
        <v>205</v>
      </c>
      <c r="B104" t="s">
        <v>252</v>
      </c>
      <c r="C104" t="s">
        <v>101</v>
      </c>
    </row>
    <row r="105" spans="1:3" x14ac:dyDescent="0.25">
      <c r="A105" t="s">
        <v>206</v>
      </c>
      <c r="B105" t="s">
        <v>253</v>
      </c>
      <c r="C105" t="s">
        <v>101</v>
      </c>
    </row>
    <row r="106" spans="1:3" x14ac:dyDescent="0.25">
      <c r="A106" t="s">
        <v>267</v>
      </c>
      <c r="B106" t="s">
        <v>254</v>
      </c>
      <c r="C106" t="s">
        <v>101</v>
      </c>
    </row>
    <row r="107" spans="1:3" x14ac:dyDescent="0.25">
      <c r="A107" t="s">
        <v>268</v>
      </c>
      <c r="B107" t="s">
        <v>76</v>
      </c>
      <c r="C107" t="s">
        <v>101</v>
      </c>
    </row>
    <row r="108" spans="1:3" x14ac:dyDescent="0.25">
      <c r="A108" t="s">
        <v>269</v>
      </c>
      <c r="B108" t="s">
        <v>77</v>
      </c>
      <c r="C108" t="s">
        <v>101</v>
      </c>
    </row>
    <row r="109" spans="1:3" x14ac:dyDescent="0.25">
      <c r="A109" t="s">
        <v>270</v>
      </c>
      <c r="B109" t="s">
        <v>78</v>
      </c>
      <c r="C109" t="s">
        <v>101</v>
      </c>
    </row>
    <row r="110" spans="1:3" x14ac:dyDescent="0.25">
      <c r="A110" t="s">
        <v>271</v>
      </c>
      <c r="B110" t="s">
        <v>80</v>
      </c>
      <c r="C110" t="s">
        <v>102</v>
      </c>
    </row>
    <row r="111" spans="1:3" x14ac:dyDescent="0.25">
      <c r="A111" t="s">
        <v>272</v>
      </c>
      <c r="B111" t="s">
        <v>255</v>
      </c>
      <c r="C111" t="s">
        <v>102</v>
      </c>
    </row>
    <row r="112" spans="1:3" x14ac:dyDescent="0.25">
      <c r="A112" t="s">
        <v>273</v>
      </c>
      <c r="B112" t="s">
        <v>84</v>
      </c>
      <c r="C112" t="s">
        <v>103</v>
      </c>
    </row>
    <row r="113" spans="1:3" x14ac:dyDescent="0.25">
      <c r="A113" t="s">
        <v>274</v>
      </c>
      <c r="B113" t="s">
        <v>94</v>
      </c>
      <c r="C113" t="s">
        <v>103</v>
      </c>
    </row>
    <row r="114" spans="1:3" x14ac:dyDescent="0.25">
      <c r="A114" t="s">
        <v>275</v>
      </c>
      <c r="B114" t="s">
        <v>171</v>
      </c>
      <c r="C114" t="s">
        <v>103</v>
      </c>
    </row>
    <row r="115" spans="1:3" x14ac:dyDescent="0.25">
      <c r="A115" t="s">
        <v>276</v>
      </c>
      <c r="B115" t="s">
        <v>91</v>
      </c>
      <c r="C115" t="s">
        <v>103</v>
      </c>
    </row>
    <row r="116" spans="1:3" x14ac:dyDescent="0.25">
      <c r="A116" t="s">
        <v>277</v>
      </c>
      <c r="B116" t="s">
        <v>90</v>
      </c>
      <c r="C116" t="s">
        <v>103</v>
      </c>
    </row>
    <row r="117" spans="1:3" x14ac:dyDescent="0.25">
      <c r="A117" t="s">
        <v>278</v>
      </c>
      <c r="B117" t="s">
        <v>92</v>
      </c>
      <c r="C117" t="s">
        <v>103</v>
      </c>
    </row>
    <row r="118" spans="1:3" x14ac:dyDescent="0.25">
      <c r="A118" t="s">
        <v>279</v>
      </c>
      <c r="B118" t="s">
        <v>93</v>
      </c>
      <c r="C118" t="s">
        <v>103</v>
      </c>
    </row>
    <row r="119" spans="1:3" x14ac:dyDescent="0.25">
      <c r="A119" t="s">
        <v>280</v>
      </c>
      <c r="B119" t="s">
        <v>256</v>
      </c>
      <c r="C119" t="s">
        <v>103</v>
      </c>
    </row>
    <row r="120" spans="1:3" x14ac:dyDescent="0.25">
      <c r="A120" t="s">
        <v>281</v>
      </c>
      <c r="B120" t="s">
        <v>257</v>
      </c>
      <c r="C120" t="s">
        <v>103</v>
      </c>
    </row>
    <row r="121" spans="1:3" x14ac:dyDescent="0.25">
      <c r="A121" t="s">
        <v>282</v>
      </c>
      <c r="B121" t="s">
        <v>207</v>
      </c>
      <c r="C121" t="s">
        <v>98</v>
      </c>
    </row>
    <row r="122" spans="1:3" x14ac:dyDescent="0.25">
      <c r="A122" t="s">
        <v>283</v>
      </c>
      <c r="B122" t="s">
        <v>260</v>
      </c>
      <c r="C122" t="s">
        <v>98</v>
      </c>
    </row>
    <row r="123" spans="1:3" x14ac:dyDescent="0.25">
      <c r="A123" t="s">
        <v>286</v>
      </c>
      <c r="B123" t="s">
        <v>287</v>
      </c>
      <c r="C123" t="s">
        <v>98</v>
      </c>
    </row>
    <row r="124" spans="1:3" x14ac:dyDescent="0.25">
      <c r="A124" t="s">
        <v>289</v>
      </c>
      <c r="B124" t="s">
        <v>291</v>
      </c>
      <c r="C124" t="s">
        <v>95</v>
      </c>
    </row>
  </sheetData>
  <mergeCells count="1">
    <mergeCell ref="A1:C4"/>
  </mergeCells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2BBBBC-818A-4EB2-9B06-8E12A8E12948}">
          <x14:formula1>
            <xm:f>PARAMETROS!$A$6:$A$22</xm:f>
          </x14:formula1>
          <xm:sqref>C6:C61 C63:C118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E879-EFC9-4893-A351-E28058913EF8}">
  <dimension ref="C3:F21"/>
  <sheetViews>
    <sheetView workbookViewId="0">
      <selection activeCell="C22" sqref="C22"/>
    </sheetView>
  </sheetViews>
  <sheetFormatPr baseColWidth="10" defaultRowHeight="15" x14ac:dyDescent="0.25"/>
  <cols>
    <col min="3" max="3" width="29.42578125" bestFit="1" customWidth="1"/>
    <col min="5" max="5" width="11.5703125" style="1"/>
  </cols>
  <sheetData>
    <row r="3" spans="3:6" x14ac:dyDescent="0.25">
      <c r="C3" t="s">
        <v>208</v>
      </c>
      <c r="E3" s="1" t="s">
        <v>209</v>
      </c>
      <c r="F3" t="s">
        <v>210</v>
      </c>
    </row>
    <row r="4" spans="3:6" x14ac:dyDescent="0.25">
      <c r="C4" t="s">
        <v>211</v>
      </c>
      <c r="E4" s="1">
        <v>5</v>
      </c>
      <c r="F4">
        <v>6</v>
      </c>
    </row>
    <row r="5" spans="3:6" x14ac:dyDescent="0.25">
      <c r="C5" t="s">
        <v>212</v>
      </c>
      <c r="E5" s="1">
        <v>6</v>
      </c>
      <c r="F5">
        <v>6</v>
      </c>
    </row>
    <row r="6" spans="3:6" x14ac:dyDescent="0.25">
      <c r="C6" t="s">
        <v>213</v>
      </c>
      <c r="E6" s="1">
        <v>6</v>
      </c>
      <c r="F6">
        <v>6</v>
      </c>
    </row>
    <row r="7" spans="3:6" x14ac:dyDescent="0.25">
      <c r="C7" t="s">
        <v>214</v>
      </c>
      <c r="E7" s="1">
        <v>14</v>
      </c>
      <c r="F7">
        <v>24</v>
      </c>
    </row>
    <row r="8" spans="3:6" x14ac:dyDescent="0.25">
      <c r="C8" t="s">
        <v>215</v>
      </c>
      <c r="E8" s="1">
        <v>7</v>
      </c>
      <c r="F8">
        <v>12</v>
      </c>
    </row>
    <row r="9" spans="3:6" x14ac:dyDescent="0.25">
      <c r="C9" t="s">
        <v>216</v>
      </c>
      <c r="E9" s="1">
        <v>3</v>
      </c>
      <c r="F9">
        <v>6</v>
      </c>
    </row>
    <row r="10" spans="3:6" x14ac:dyDescent="0.25">
      <c r="C10" t="s">
        <v>217</v>
      </c>
      <c r="E10" s="1">
        <v>4</v>
      </c>
      <c r="F10">
        <v>6</v>
      </c>
    </row>
    <row r="11" spans="3:6" x14ac:dyDescent="0.25">
      <c r="C11" t="s">
        <v>218</v>
      </c>
      <c r="E11" s="1">
        <v>5</v>
      </c>
      <c r="F11">
        <v>6</v>
      </c>
    </row>
    <row r="12" spans="3:6" x14ac:dyDescent="0.25">
      <c r="C12" t="s">
        <v>219</v>
      </c>
      <c r="E12" s="1">
        <v>5</v>
      </c>
      <c r="F12">
        <v>6</v>
      </c>
    </row>
    <row r="13" spans="3:6" x14ac:dyDescent="0.25">
      <c r="C13" t="s">
        <v>220</v>
      </c>
      <c r="E13" s="1">
        <v>5</v>
      </c>
    </row>
    <row r="14" spans="3:6" x14ac:dyDescent="0.25">
      <c r="C14" t="s">
        <v>221</v>
      </c>
      <c r="E14" s="1">
        <v>8</v>
      </c>
    </row>
    <row r="15" spans="3:6" x14ac:dyDescent="0.25">
      <c r="C15" t="s">
        <v>222</v>
      </c>
      <c r="E15" s="1">
        <v>5</v>
      </c>
      <c r="F15">
        <v>4</v>
      </c>
    </row>
    <row r="16" spans="3:6" x14ac:dyDescent="0.25">
      <c r="C16" t="s">
        <v>223</v>
      </c>
      <c r="E16" s="1">
        <v>14</v>
      </c>
      <c r="F16">
        <v>12</v>
      </c>
    </row>
    <row r="17" spans="3:6" x14ac:dyDescent="0.25">
      <c r="C17" t="s">
        <v>224</v>
      </c>
      <c r="E17" s="1">
        <v>5</v>
      </c>
      <c r="F17">
        <v>5</v>
      </c>
    </row>
    <row r="18" spans="3:6" x14ac:dyDescent="0.25">
      <c r="C18" t="s">
        <v>225</v>
      </c>
      <c r="E18" s="1">
        <v>5</v>
      </c>
      <c r="F18">
        <v>5</v>
      </c>
    </row>
    <row r="19" spans="3:6" x14ac:dyDescent="0.25">
      <c r="C19" t="s">
        <v>226</v>
      </c>
    </row>
    <row r="20" spans="3:6" x14ac:dyDescent="0.25">
      <c r="C20" t="s">
        <v>227</v>
      </c>
    </row>
    <row r="21" spans="3:6" x14ac:dyDescent="0.25">
      <c r="C21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F4F3-2B70-4D14-977D-05C88CA72978}">
  <dimension ref="A5:A14"/>
  <sheetViews>
    <sheetView workbookViewId="0">
      <selection activeCell="D6" sqref="D6"/>
    </sheetView>
  </sheetViews>
  <sheetFormatPr baseColWidth="10" defaultRowHeight="15" x14ac:dyDescent="0.25"/>
  <cols>
    <col min="1" max="1" width="23.7109375" bestFit="1" customWidth="1"/>
  </cols>
  <sheetData>
    <row r="5" spans="1:1" x14ac:dyDescent="0.25">
      <c r="A5" t="s">
        <v>104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  <row r="12" spans="1:1" x14ac:dyDescent="0.25">
      <c r="A12" t="s">
        <v>101</v>
      </c>
    </row>
    <row r="13" spans="1:1" x14ac:dyDescent="0.25">
      <c r="A13" t="s">
        <v>102</v>
      </c>
    </row>
    <row r="14" spans="1:1" x14ac:dyDescent="0.25">
      <c r="A14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5A8A-3403-4DE2-BBB0-28344AF45B89}">
  <dimension ref="A1:K141"/>
  <sheetViews>
    <sheetView tabSelected="1" topLeftCell="A43" zoomScale="86" zoomScaleNormal="86" workbookViewId="0">
      <selection activeCell="G73" sqref="G73"/>
    </sheetView>
  </sheetViews>
  <sheetFormatPr baseColWidth="10" defaultRowHeight="15" x14ac:dyDescent="0.25"/>
  <cols>
    <col min="2" max="2" width="63" bestFit="1" customWidth="1"/>
    <col min="3" max="3" width="23.7109375" customWidth="1"/>
    <col min="4" max="5" width="19.7109375" bestFit="1" customWidth="1"/>
    <col min="7" max="7" width="18.140625" style="5" customWidth="1"/>
    <col min="8" max="8" width="18.5703125" style="5" customWidth="1"/>
    <col min="9" max="9" width="25.7109375" style="5" customWidth="1"/>
    <col min="10" max="10" width="24.140625" style="5" customWidth="1"/>
    <col min="11" max="11" width="42.140625" bestFit="1" customWidth="1"/>
  </cols>
  <sheetData>
    <row r="1" spans="1:11" x14ac:dyDescent="0.25">
      <c r="A1" s="16" t="s">
        <v>106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1" x14ac:dyDescent="0.25">
      <c r="J4" s="8" t="s">
        <v>114</v>
      </c>
    </row>
    <row r="5" spans="1:11" x14ac:dyDescent="0.25">
      <c r="J5" s="9">
        <f>SUBTOTAL(9,INVENTARIO[[#All],[VALOR DEL INVENTARIO]])</f>
        <v>1059018</v>
      </c>
    </row>
    <row r="6" spans="1:11" x14ac:dyDescent="0.25">
      <c r="A6" t="s">
        <v>0</v>
      </c>
      <c r="B6" t="s">
        <v>1</v>
      </c>
      <c r="C6" t="s">
        <v>2</v>
      </c>
      <c r="D6" t="s">
        <v>107</v>
      </c>
      <c r="E6" t="s">
        <v>108</v>
      </c>
      <c r="F6" t="s">
        <v>109</v>
      </c>
      <c r="G6" s="5" t="s">
        <v>110</v>
      </c>
      <c r="H6" s="5" t="s">
        <v>111</v>
      </c>
      <c r="I6" s="5" t="s">
        <v>112</v>
      </c>
      <c r="J6" s="5" t="s">
        <v>113</v>
      </c>
      <c r="K6" s="5" t="s">
        <v>288</v>
      </c>
    </row>
    <row r="7" spans="1:11" s="11" customFormat="1" x14ac:dyDescent="0.25">
      <c r="A7" s="11" t="s">
        <v>4</v>
      </c>
      <c r="B7" s="11" t="str">
        <f>IFERROR(VLOOKUP(INVENTARIO[[#This Row],[CODIGO]],BASEDEDATOS[],2,FALSE),"NO EXISTE")</f>
        <v>DETERGENTE BIO AZUL DE 5 LITROS</v>
      </c>
      <c r="C7" s="11" t="str">
        <f>IFERROR(VLOOKUP(INVENTARIO[[#This Row],[CODIGO]],BASEDEDATOS[],3,FALSE),"NO EXISTE")</f>
        <v>LAVANDERIA</v>
      </c>
      <c r="D7" s="11">
        <v>150</v>
      </c>
      <c r="E7" s="11">
        <v>11</v>
      </c>
      <c r="F7" s="11">
        <f>INVENTARIO[[#This Row],[COMPRAS]]-INVENTARIO[[#This Row],[VENTAS]]</f>
        <v>139</v>
      </c>
      <c r="G7" s="6">
        <v>920</v>
      </c>
      <c r="H7" s="6">
        <v>1800</v>
      </c>
      <c r="I7" s="6">
        <f>INVENTARIO[[#This Row],[PRECIO DE VENTA]]-INVENTARIO[[#This Row],[COSTO UNITARIO]]</f>
        <v>880</v>
      </c>
      <c r="J7" s="6">
        <f>INVENTARIO[[#This Row],[COSTO UNITARIO]]*INVENTARIO[[#This Row],[STOCK]]</f>
        <v>127880</v>
      </c>
      <c r="K7" s="6">
        <f>+INVENTARIO[[#This Row],[VENTAS]]*INVENTARIO[[#This Row],[UTILIDAD POR PRODUCTO]]</f>
        <v>9680</v>
      </c>
    </row>
    <row r="8" spans="1:11" s="11" customFormat="1" x14ac:dyDescent="0.25">
      <c r="A8" s="11" t="s">
        <v>5</v>
      </c>
      <c r="B8" s="11" t="str">
        <f>IFERROR(VLOOKUP(INVENTARIO[[#This Row],[CODIGO]],BASEDEDATOS[],2,FALSE),"NO EXISTE")</f>
        <v>DETERGENTE BIO VERDE DE 5 LITROS</v>
      </c>
      <c r="C8" s="11" t="str">
        <f>IFERROR(VLOOKUP(INVENTARIO[[#This Row],[CODIGO]],BASEDEDATOS[],3,FALSE),"NO EXISTE")</f>
        <v>LAVANDERIA</v>
      </c>
      <c r="D8" s="11">
        <v>50</v>
      </c>
      <c r="E8" s="11">
        <v>8</v>
      </c>
      <c r="F8" s="11">
        <f>INVENTARIO[[#This Row],[COMPRAS]]-INVENTARIO[[#This Row],[VENTAS]]</f>
        <v>42</v>
      </c>
      <c r="G8" s="6">
        <v>920</v>
      </c>
      <c r="H8" s="6">
        <v>1800</v>
      </c>
      <c r="I8" s="6">
        <f>INVENTARIO[[#This Row],[PRECIO DE VENTA]]-INVENTARIO[[#This Row],[COSTO UNITARIO]]</f>
        <v>880</v>
      </c>
      <c r="J8" s="6">
        <f>INVENTARIO[[#This Row],[COSTO UNITARIO]]*INVENTARIO[[#This Row],[STOCK]]</f>
        <v>38640</v>
      </c>
      <c r="K8" s="6">
        <f>+INVENTARIO[[#This Row],[VENTAS]]*INVENTARIO[[#This Row],[UTILIDAD POR PRODUCTO]]</f>
        <v>7040</v>
      </c>
    </row>
    <row r="9" spans="1:11" s="11" customFormat="1" x14ac:dyDescent="0.25">
      <c r="A9" s="11" t="s">
        <v>6</v>
      </c>
      <c r="B9" s="11" t="str">
        <f>IFERROR(VLOOKUP(INVENTARIO[[#This Row],[CODIGO]],BASEDEDATOS[],2,FALSE),"NO EXISTE")</f>
        <v>DETERGENTE MORADO CON SUAVIZANTE DE 5 LITROS</v>
      </c>
      <c r="C9" s="11" t="str">
        <f>IFERROR(VLOOKUP(INVENTARIO[[#This Row],[CODIGO]],BASEDEDATOS[],3,FALSE),"NO EXISTE")</f>
        <v>LAVANDERIA</v>
      </c>
      <c r="D9" s="11">
        <v>10</v>
      </c>
      <c r="E9" s="11">
        <v>4</v>
      </c>
      <c r="F9" s="14">
        <f>INVENTARIO[[#This Row],[COMPRAS]]-INVENTARIO[[#This Row],[VENTAS]]</f>
        <v>6</v>
      </c>
      <c r="G9" s="6">
        <v>1490</v>
      </c>
      <c r="H9" s="6">
        <v>2500</v>
      </c>
      <c r="I9" s="6">
        <f>INVENTARIO[[#This Row],[PRECIO DE VENTA]]-INVENTARIO[[#This Row],[COSTO UNITARIO]]</f>
        <v>1010</v>
      </c>
      <c r="J9" s="6">
        <f>INVENTARIO[[#This Row],[COSTO UNITARIO]]*INVENTARIO[[#This Row],[STOCK]]</f>
        <v>8940</v>
      </c>
      <c r="K9" s="6">
        <f>+INVENTARIO[[#This Row],[VENTAS]]*INVENTARIO[[#This Row],[UTILIDAD POR PRODUCTO]]</f>
        <v>4040</v>
      </c>
    </row>
    <row r="10" spans="1:11" s="11" customFormat="1" x14ac:dyDescent="0.25">
      <c r="A10" s="11" t="s">
        <v>7</v>
      </c>
      <c r="B10" s="11" t="str">
        <f>IFERROR(VLOOKUP(INVENTARIO[[#This Row],[CODIGO]],BASEDEDATOS[],2,FALSE),"NO EXISTE")</f>
        <v>DETERGENTE BLANCO CON SUAVIZANTE DE 5 LITROS</v>
      </c>
      <c r="C10" s="11" t="str">
        <f>IFERROR(VLOOKUP(INVENTARIO[[#This Row],[CODIGO]],BASEDEDATOS[],3,FALSE),"NO EXISTE")</f>
        <v>LAVANDERIA</v>
      </c>
      <c r="D10" s="11">
        <v>60</v>
      </c>
      <c r="E10" s="11">
        <v>2</v>
      </c>
      <c r="F10" s="14">
        <f>INVENTARIO[[#This Row],[COMPRAS]]-INVENTARIO[[#This Row],[VENTAS]]</f>
        <v>58</v>
      </c>
      <c r="G10" s="6">
        <v>1490</v>
      </c>
      <c r="H10" s="6">
        <v>2500</v>
      </c>
      <c r="I10" s="6">
        <f>INVENTARIO[[#This Row],[PRECIO DE VENTA]]-INVENTARIO[[#This Row],[COSTO UNITARIO]]</f>
        <v>1010</v>
      </c>
      <c r="J10" s="6">
        <f>INVENTARIO[[#This Row],[COSTO UNITARIO]]*INVENTARIO[[#This Row],[STOCK]]</f>
        <v>86420</v>
      </c>
      <c r="K10" s="6">
        <f>+INVENTARIO[[#This Row],[VENTAS]]*INVENTARIO[[#This Row],[UTILIDAD POR PRODUCTO]]</f>
        <v>2020</v>
      </c>
    </row>
    <row r="11" spans="1:11" s="11" customFormat="1" x14ac:dyDescent="0.25">
      <c r="A11" s="11" t="s">
        <v>8</v>
      </c>
      <c r="B11" s="11" t="str">
        <f>IFERROR(VLOOKUP(INVENTARIO[[#This Row],[CODIGO]],BASEDEDATOS[],2,FALSE),"NO EXISTE")</f>
        <v>DETERGENTE CELESTE CON SUAVIZANTE DE 5 LITROS</v>
      </c>
      <c r="C11" s="11" t="str">
        <f>IFERROR(VLOOKUP(INVENTARIO[[#This Row],[CODIGO]],BASEDEDATOS[],3,FALSE),"NO EXISTE")</f>
        <v>LAVANDERIA</v>
      </c>
      <c r="D11" s="11">
        <v>60</v>
      </c>
      <c r="E11" s="11">
        <v>9</v>
      </c>
      <c r="F11" s="14">
        <f>INVENTARIO[[#This Row],[COMPRAS]]-INVENTARIO[[#This Row],[VENTAS]]</f>
        <v>51</v>
      </c>
      <c r="G11" s="6">
        <v>1490</v>
      </c>
      <c r="H11" s="6">
        <v>2500</v>
      </c>
      <c r="I11" s="6">
        <f>INVENTARIO[[#This Row],[PRECIO DE VENTA]]-INVENTARIO[[#This Row],[COSTO UNITARIO]]</f>
        <v>1010</v>
      </c>
      <c r="J11" s="6">
        <f>INVENTARIO[[#This Row],[COSTO UNITARIO]]*INVENTARIO[[#This Row],[STOCK]]</f>
        <v>75990</v>
      </c>
      <c r="K11" s="6">
        <f>+INVENTARIO[[#This Row],[VENTAS]]*INVENTARIO[[#This Row],[UTILIDAD POR PRODUCTO]]</f>
        <v>9090</v>
      </c>
    </row>
    <row r="12" spans="1:11" s="11" customFormat="1" x14ac:dyDescent="0.25">
      <c r="A12" s="11" t="s">
        <v>9</v>
      </c>
      <c r="B12" s="11" t="str">
        <f>IFERROR(VLOOKUP(INVENTARIO[[#This Row],[CODIGO]],BASEDEDATOS[],2,FALSE),"NO EXISTE")</f>
        <v>DETERGENTE NARANJO CON SUAVIZANTE DE 5 LITROS</v>
      </c>
      <c r="C12" s="11" t="str">
        <f>IFERROR(VLOOKUP(INVENTARIO[[#This Row],[CODIGO]],BASEDEDATOS[],3,FALSE),"NO EXISTE")</f>
        <v>LAVANDERIA</v>
      </c>
      <c r="D12" s="11">
        <v>30</v>
      </c>
      <c r="E12" s="11">
        <v>2</v>
      </c>
      <c r="F12" s="14">
        <f>INVENTARIO[[#This Row],[COMPRAS]]-INVENTARIO[[#This Row],[VENTAS]]</f>
        <v>28</v>
      </c>
      <c r="G12" s="6">
        <v>1490</v>
      </c>
      <c r="H12" s="6">
        <v>2500</v>
      </c>
      <c r="I12" s="6">
        <f>INVENTARIO[[#This Row],[PRECIO DE VENTA]]-INVENTARIO[[#This Row],[COSTO UNITARIO]]</f>
        <v>1010</v>
      </c>
      <c r="J12" s="6">
        <f>INVENTARIO[[#This Row],[COSTO UNITARIO]]*INVENTARIO[[#This Row],[STOCK]]</f>
        <v>41720</v>
      </c>
      <c r="K12" s="6">
        <f>+INVENTARIO[[#This Row],[VENTAS]]*INVENTARIO[[#This Row],[UTILIDAD POR PRODUCTO]]</f>
        <v>2020</v>
      </c>
    </row>
    <row r="13" spans="1:11" s="11" customFormat="1" x14ac:dyDescent="0.25">
      <c r="A13" s="11" t="s">
        <v>10</v>
      </c>
      <c r="B13" s="11" t="str">
        <f>IFERROR(VLOOKUP(INVENTARIO[[#This Row],[CODIGO]],BASEDEDATOS[],2,FALSE),"NO EXISTE")</f>
        <v>DETERGENTE ROSADO CON SUAVIZANTE DE 5 LITROS</v>
      </c>
      <c r="C13" s="11" t="str">
        <f>IFERROR(VLOOKUP(INVENTARIO[[#This Row],[CODIGO]],BASEDEDATOS[],3,FALSE),"NO EXISTE")</f>
        <v>LAVANDERIA</v>
      </c>
      <c r="D13" s="11">
        <v>40</v>
      </c>
      <c r="E13" s="11">
        <v>2</v>
      </c>
      <c r="F13" s="14">
        <f>INVENTARIO[[#This Row],[COMPRAS]]-INVENTARIO[[#This Row],[VENTAS]]</f>
        <v>38</v>
      </c>
      <c r="G13" s="6">
        <v>1490</v>
      </c>
      <c r="H13" s="6">
        <v>2500</v>
      </c>
      <c r="I13" s="6">
        <f>INVENTARIO[[#This Row],[PRECIO DE VENTA]]-INVENTARIO[[#This Row],[COSTO UNITARIO]]</f>
        <v>1010</v>
      </c>
      <c r="J13" s="6">
        <f>INVENTARIO[[#This Row],[COSTO UNITARIO]]*INVENTARIO[[#This Row],[STOCK]]</f>
        <v>56620</v>
      </c>
      <c r="K13" s="6">
        <f>+INVENTARIO[[#This Row],[VENTAS]]*INVENTARIO[[#This Row],[UTILIDAD POR PRODUCTO]]</f>
        <v>2020</v>
      </c>
    </row>
    <row r="14" spans="1:11" s="11" customFormat="1" x14ac:dyDescent="0.25">
      <c r="A14" s="11" t="s">
        <v>11</v>
      </c>
      <c r="B14" s="11" t="str">
        <f>IFERROR(VLOOKUP(INVENTARIO[[#This Row],[CODIGO]],BASEDEDATOS[],2,FALSE),"NO EXISTE")</f>
        <v>DETERGENTE PREMIUM AROMA OMO DE 3 LITROS (PACK DE 4 UNID)</v>
      </c>
      <c r="C14" s="11" t="str">
        <f>IFERROR(VLOOKUP(INVENTARIO[[#This Row],[CODIGO]],BASEDEDATOS[],3,FALSE),"NO EXISTE")</f>
        <v>LAVANDERIA</v>
      </c>
      <c r="D14" s="11">
        <v>16</v>
      </c>
      <c r="E14" s="11">
        <v>16</v>
      </c>
      <c r="F14" s="11">
        <f>INVENTARIO[[#This Row],[COMPRAS]]-INVENTARIO[[#This Row],[VENTAS]]</f>
        <v>0</v>
      </c>
      <c r="G14" s="6">
        <v>1350</v>
      </c>
      <c r="H14" s="6">
        <v>3000</v>
      </c>
      <c r="I14" s="6">
        <f>INVENTARIO[[#This Row],[PRECIO DE VENTA]]-INVENTARIO[[#This Row],[COSTO UNITARIO]]</f>
        <v>1650</v>
      </c>
      <c r="J14" s="6">
        <f>INVENTARIO[[#This Row],[COSTO UNITARIO]]*INVENTARIO[[#This Row],[STOCK]]</f>
        <v>0</v>
      </c>
      <c r="K14" s="6">
        <f>+INVENTARIO[[#This Row],[VENTAS]]*INVENTARIO[[#This Row],[UTILIDAD POR PRODUCTO]]</f>
        <v>26400</v>
      </c>
    </row>
    <row r="15" spans="1:11" s="11" customFormat="1" x14ac:dyDescent="0.25">
      <c r="A15" s="11" t="s">
        <v>12</v>
      </c>
      <c r="B15" s="11" t="str">
        <f>IFERROR(VLOOKUP(INVENTARIO[[#This Row],[CODIGO]],BASEDEDATOS[],2,FALSE),"NO EXISTE")</f>
        <v>DETERGENTE DE BEBÉ 3 LITROS</v>
      </c>
      <c r="C15" s="11" t="str">
        <f>IFERROR(VLOOKUP(INVENTARIO[[#This Row],[CODIGO]],BASEDEDATOS[],3,FALSE),"NO EXISTE")</f>
        <v>LAVANDERIA</v>
      </c>
      <c r="D15" s="11">
        <v>5</v>
      </c>
      <c r="E15" s="11">
        <v>2</v>
      </c>
      <c r="F15" s="11">
        <f>INVENTARIO[[#This Row],[COMPRAS]]-INVENTARIO[[#This Row],[VENTAS]]</f>
        <v>3</v>
      </c>
      <c r="G15" s="6">
        <v>2450</v>
      </c>
      <c r="H15" s="6">
        <v>4000</v>
      </c>
      <c r="I15" s="6">
        <f>INVENTARIO[[#This Row],[PRECIO DE VENTA]]-INVENTARIO[[#This Row],[COSTO UNITARIO]]</f>
        <v>1550</v>
      </c>
      <c r="J15" s="6">
        <f>INVENTARIO[[#This Row],[COSTO UNITARIO]]*INVENTARIO[[#This Row],[STOCK]]</f>
        <v>7350</v>
      </c>
      <c r="K15" s="6">
        <f>+INVENTARIO[[#This Row],[VENTAS]]*INVENTARIO[[#This Row],[UTILIDAD POR PRODUCTO]]</f>
        <v>3100</v>
      </c>
    </row>
    <row r="16" spans="1:11" s="11" customFormat="1" x14ac:dyDescent="0.25">
      <c r="A16" s="11" t="s">
        <v>13</v>
      </c>
      <c r="B16" s="11" t="str">
        <f>IFERROR(VLOOKUP(INVENTARIO[[#This Row],[CODIGO]],BASEDEDATOS[],2,FALSE),"NO EXISTE")</f>
        <v>DETERGENTE OMO PARA DILUIR 3 LITROS</v>
      </c>
      <c r="C16" s="11" t="str">
        <f>IFERROR(VLOOKUP(INVENTARIO[[#This Row],[CODIGO]],BASEDEDATOS[],3,FALSE),"NO EXISTE")</f>
        <v>LAVANDERIA</v>
      </c>
      <c r="D16" s="11">
        <v>24</v>
      </c>
      <c r="E16" s="11">
        <v>11</v>
      </c>
      <c r="F16" s="11">
        <f>INVENTARIO[[#This Row],[COMPRAS]]-INVENTARIO[[#This Row],[VENTAS]]</f>
        <v>13</v>
      </c>
      <c r="G16" s="12">
        <v>3490</v>
      </c>
      <c r="H16" s="6">
        <v>4500</v>
      </c>
      <c r="I16" s="6">
        <f>INVENTARIO[[#This Row],[PRECIO DE VENTA]]-INVENTARIO[[#This Row],[COSTO UNITARIO]]</f>
        <v>1010</v>
      </c>
      <c r="J16" s="6">
        <f>INVENTARIO[[#This Row],[COSTO UNITARIO]]*INVENTARIO[[#This Row],[STOCK]]</f>
        <v>45370</v>
      </c>
      <c r="K16" s="6">
        <f>+INVENTARIO[[#This Row],[VENTAS]]*INVENTARIO[[#This Row],[UTILIDAD POR PRODUCTO]]</f>
        <v>11110</v>
      </c>
    </row>
    <row r="17" spans="1:11" s="11" customFormat="1" x14ac:dyDescent="0.25">
      <c r="A17" s="11" t="s">
        <v>14</v>
      </c>
      <c r="B17" s="11" t="str">
        <f>IFERROR(VLOOKUP(INVENTARIO[[#This Row],[CODIGO]],BASEDEDATOS[],2,FALSE),"NO EXISTE")</f>
        <v>DETERGENTE OMO DE 400 ML</v>
      </c>
      <c r="C17" s="11" t="str">
        <f>IFERROR(VLOOKUP(INVENTARIO[[#This Row],[CODIGO]],BASEDEDATOS[],3,FALSE),"NO EXISTE")</f>
        <v>LAVANDERIA</v>
      </c>
      <c r="D17" s="13">
        <v>15</v>
      </c>
      <c r="E17" s="11">
        <v>3</v>
      </c>
      <c r="F17" s="11">
        <f>INVENTARIO[[#This Row],[COMPRAS]]-INVENTARIO[[#This Row],[VENTAS]]</f>
        <v>12</v>
      </c>
      <c r="G17" s="12">
        <v>690</v>
      </c>
      <c r="H17" s="6">
        <v>1000</v>
      </c>
      <c r="I17" s="6">
        <f>INVENTARIO[[#This Row],[PRECIO DE VENTA]]-INVENTARIO[[#This Row],[COSTO UNITARIO]]</f>
        <v>310</v>
      </c>
      <c r="J17" s="6">
        <f>INVENTARIO[[#This Row],[COSTO UNITARIO]]*INVENTARIO[[#This Row],[STOCK]]</f>
        <v>8280</v>
      </c>
      <c r="K17" s="6">
        <f>+INVENTARIO[[#This Row],[VENTAS]]*INVENTARIO[[#This Row],[UTILIDAD POR PRODUCTO]]</f>
        <v>930</v>
      </c>
    </row>
    <row r="18" spans="1:11" x14ac:dyDescent="0.25">
      <c r="A18" t="s">
        <v>15</v>
      </c>
      <c r="B18" t="str">
        <f>IFERROR(VLOOKUP(INVENTARIO[[#This Row],[CODIGO]],BASEDEDATOS[],2,FALSE),"NO EXISTE")</f>
        <v xml:space="preserve">DETERGENTE OMO LIQUIDO BIDÓN 3 LITROS </v>
      </c>
      <c r="C18" t="str">
        <f>IFERROR(VLOOKUP(INVENTARIO[[#This Row],[CODIGO]],BASEDEDATOS[],3,FALSE),"NO EXISTE")</f>
        <v>LAVANDERIA</v>
      </c>
      <c r="D18">
        <v>0</v>
      </c>
      <c r="E18" cm="1">
        <f t="array" ref="E18">SUM(SUMIF(VENTAS[CODIGO],INVENTARIO!A17:A20,VENTAS[CANTIDAD]))</f>
        <v>0</v>
      </c>
      <c r="F18">
        <f>INVENTARIO[[#This Row],[COMPRAS]]-INVENTARIO[[#This Row],[VENTAS]]</f>
        <v>0</v>
      </c>
      <c r="G18" s="5">
        <v>0</v>
      </c>
      <c r="H18" s="5">
        <v>0</v>
      </c>
      <c r="I18" s="5">
        <f>INVENTARIO[[#This Row],[PRECIO DE VENTA]]-INVENTARIO[[#This Row],[COSTO UNITARIO]]</f>
        <v>0</v>
      </c>
      <c r="J18" s="5">
        <f>INVENTARIO[[#This Row],[COSTO UNITARIO]]*INVENTARIO[[#This Row],[STOCK]]</f>
        <v>0</v>
      </c>
      <c r="K18" s="5">
        <f>+INVENTARIO[[#This Row],[VENTAS]]*INVENTARIO[[#This Row],[UTILIDAD POR PRODUCTO]]</f>
        <v>0</v>
      </c>
    </row>
    <row r="19" spans="1:11" x14ac:dyDescent="0.25">
      <c r="A19" t="s">
        <v>16</v>
      </c>
      <c r="B19" t="str">
        <f>IFERROR(VLOOKUP(INVENTARIO[[#This Row],[CODIGO]],BASEDEDATOS[],2,FALSE),"NO EXISTE")</f>
        <v>DETERGENTE BIO KLINNING AZUL</v>
      </c>
      <c r="C19" t="str">
        <f>IFERROR(VLOOKUP(INVENTARIO[[#This Row],[CODIGO]],BASEDEDATOS[],3,FALSE),"NO EXISTE")</f>
        <v>LAVANDERIA</v>
      </c>
      <c r="D19">
        <v>16</v>
      </c>
      <c r="E19">
        <v>0</v>
      </c>
      <c r="F19">
        <f>INVENTARIO[[#This Row],[COMPRAS]]-INVENTARIO[[#This Row],[VENTAS]]</f>
        <v>16</v>
      </c>
      <c r="G19" s="5">
        <v>950</v>
      </c>
      <c r="H19" s="5">
        <v>0</v>
      </c>
      <c r="I19" s="5">
        <f>INVENTARIO[[#This Row],[PRECIO DE VENTA]]-INVENTARIO[[#This Row],[COSTO UNITARIO]]</f>
        <v>-950</v>
      </c>
      <c r="J19" s="5">
        <f>INVENTARIO[[#This Row],[COSTO UNITARIO]]*INVENTARIO[[#This Row],[STOCK]]</f>
        <v>15200</v>
      </c>
      <c r="K19" s="5">
        <f>+INVENTARIO[[#This Row],[VENTAS]]*INVENTARIO[[#This Row],[UTILIDAD POR PRODUCTO]]</f>
        <v>0</v>
      </c>
    </row>
    <row r="20" spans="1:11" x14ac:dyDescent="0.25">
      <c r="A20" t="s">
        <v>17</v>
      </c>
      <c r="B20" t="str">
        <f>IFERROR(VLOOKUP(INVENTARIO[[#This Row],[CODIGO]],BASEDEDATOS[],2,FALSE),"NO EXISTE")</f>
        <v>DETERGENTE BIO KLINNING VERDE</v>
      </c>
      <c r="C20" t="str">
        <f>IFERROR(VLOOKUP(INVENTARIO[[#This Row],[CODIGO]],BASEDEDATOS[],3,FALSE),"NO EXISTE")</f>
        <v>LAVANDERIA</v>
      </c>
      <c r="D20">
        <v>16</v>
      </c>
      <c r="E20" cm="1">
        <f t="array" ref="E20">SUM(SUMIF(VENTAS[CODIGO],INVENTARIO!A19:A22,VENTAS[CANTIDAD]))</f>
        <v>0</v>
      </c>
      <c r="F20">
        <f>INVENTARIO[[#This Row],[COMPRAS]]-INVENTARIO[[#This Row],[VENTAS]]</f>
        <v>16</v>
      </c>
      <c r="G20" s="5">
        <v>950</v>
      </c>
      <c r="H20" s="5">
        <v>0</v>
      </c>
      <c r="I20" s="5">
        <f>INVENTARIO[[#This Row],[PRECIO DE VENTA]]-INVENTARIO[[#This Row],[COSTO UNITARIO]]</f>
        <v>-950</v>
      </c>
      <c r="J20" s="5">
        <f>INVENTARIO[[#This Row],[COSTO UNITARIO]]*INVENTARIO[[#This Row],[STOCK]]</f>
        <v>15200</v>
      </c>
      <c r="K20" s="5">
        <f>+INVENTARIO[[#This Row],[VENTAS]]*INVENTARIO[[#This Row],[UTILIDAD POR PRODUCTO]]</f>
        <v>0</v>
      </c>
    </row>
    <row r="21" spans="1:11" x14ac:dyDescent="0.25">
      <c r="A21" t="s">
        <v>18</v>
      </c>
      <c r="B21" t="str">
        <f>IFERROR(VLOOKUP(INVENTARIO[[#This Row],[CODIGO]],BASEDEDATOS[],2,FALSE),"NO EXISTE")</f>
        <v>DETERGENTE SOFT LIQUIDO BIDÓN DE 3 LITROS</v>
      </c>
      <c r="C21" t="str">
        <f>IFERROR(VLOOKUP(INVENTARIO[[#This Row],[CODIGO]],BASEDEDATOS[],3,FALSE),"NO EXISTE")</f>
        <v>LAVANDERIA</v>
      </c>
      <c r="D21">
        <v>0</v>
      </c>
      <c r="E21" cm="1">
        <f t="array" ref="E21">SUM(SUMIF(VENTAS[CODIGO],INVENTARIO!A20:A23,VENTAS[CANTIDAD]))</f>
        <v>0</v>
      </c>
      <c r="F21">
        <f>INVENTARIO[[#This Row],[COMPRAS]]-INVENTARIO[[#This Row],[VENTAS]]</f>
        <v>0</v>
      </c>
      <c r="G21" s="5">
        <v>0</v>
      </c>
      <c r="H21" s="5">
        <v>0</v>
      </c>
      <c r="I21" s="5">
        <f>INVENTARIO[[#This Row],[PRECIO DE VENTA]]-INVENTARIO[[#This Row],[COSTO UNITARIO]]</f>
        <v>0</v>
      </c>
      <c r="J21" s="5">
        <f>INVENTARIO[[#This Row],[COSTO UNITARIO]]*INVENTARIO[[#This Row],[STOCK]]</f>
        <v>0</v>
      </c>
      <c r="K21" s="5">
        <f>+INVENTARIO[[#This Row],[VENTAS]]*INVENTARIO[[#This Row],[UTILIDAD POR PRODUCTO]]</f>
        <v>0</v>
      </c>
    </row>
    <row r="22" spans="1:11" s="11" customFormat="1" x14ac:dyDescent="0.25">
      <c r="A22" t="s">
        <v>19</v>
      </c>
      <c r="B22" s="11" t="str">
        <f>IFERROR(VLOOKUP(INVENTARIO[[#This Row],[CODIGO]],BASEDEDATOS[],2,FALSE),"NO EXISTE")</f>
        <v>DETERGENTE EN POLVO QUITA MANCHA ROSADO</v>
      </c>
      <c r="C22" s="11" t="str">
        <f>IFERROR(VLOOKUP(INVENTARIO[[#This Row],[CODIGO]],BASEDEDATOS[],3,FALSE),"NO EXISTE")</f>
        <v>LAVANDERIA</v>
      </c>
      <c r="D22" s="11">
        <v>6</v>
      </c>
      <c r="E22" s="11">
        <v>2</v>
      </c>
      <c r="F22" s="11">
        <f>INVENTARIO[[#This Row],[COMPRAS]]-INVENTARIO[[#This Row],[VENTAS]]</f>
        <v>4</v>
      </c>
      <c r="G22" s="6">
        <v>490</v>
      </c>
      <c r="H22" s="6">
        <v>1000</v>
      </c>
      <c r="I22" s="6">
        <f>INVENTARIO[[#This Row],[PRECIO DE VENTA]]-INVENTARIO[[#This Row],[COSTO UNITARIO]]</f>
        <v>510</v>
      </c>
      <c r="J22" s="6">
        <f>INVENTARIO[[#This Row],[COSTO UNITARIO]]*INVENTARIO[[#This Row],[STOCK]]</f>
        <v>1960</v>
      </c>
      <c r="K22" s="6">
        <f>+INVENTARIO[[#This Row],[VENTAS]]*INVENTARIO[[#This Row],[UTILIDAD POR PRODUCTO]]</f>
        <v>1020</v>
      </c>
    </row>
    <row r="23" spans="1:11" s="11" customFormat="1" x14ac:dyDescent="0.25">
      <c r="A23" t="s">
        <v>20</v>
      </c>
      <c r="B23" s="11" t="str">
        <f>IFERROR(VLOOKUP(INVENTARIO[[#This Row],[CODIGO]],BASEDEDATOS[],2,FALSE),"NO EXISTE")</f>
        <v>DETERGENTE EN POLVO QUITA MANCHA MORADO</v>
      </c>
      <c r="C23" s="11" t="str">
        <f>IFERROR(VLOOKUP(INVENTARIO[[#This Row],[CODIGO]],BASEDEDATOS[],3,FALSE),"NO EXISTE")</f>
        <v>LAVANDERIA</v>
      </c>
      <c r="D23" s="11">
        <v>6</v>
      </c>
      <c r="E23" s="11">
        <v>1</v>
      </c>
      <c r="F23" s="11">
        <f>INVENTARIO[[#This Row],[COMPRAS]]-INVENTARIO[[#This Row],[VENTAS]]</f>
        <v>5</v>
      </c>
      <c r="G23" s="6">
        <v>490</v>
      </c>
      <c r="H23" s="6">
        <v>1000</v>
      </c>
      <c r="I23" s="6">
        <f>INVENTARIO[[#This Row],[PRECIO DE VENTA]]-INVENTARIO[[#This Row],[COSTO UNITARIO]]</f>
        <v>510</v>
      </c>
      <c r="J23" s="6">
        <f>INVENTARIO[[#This Row],[COSTO UNITARIO]]*INVENTARIO[[#This Row],[STOCK]]</f>
        <v>2450</v>
      </c>
      <c r="K23" s="6">
        <f>+INVENTARIO[[#This Row],[VENTAS]]*INVENTARIO[[#This Row],[UTILIDAD POR PRODUCTO]]</f>
        <v>510</v>
      </c>
    </row>
    <row r="24" spans="1:11" s="11" customFormat="1" x14ac:dyDescent="0.25">
      <c r="A24" t="s">
        <v>21</v>
      </c>
      <c r="B24" s="11" t="str">
        <f>IFERROR(VLOOKUP(INVENTARIO[[#This Row],[CODIGO]],BASEDEDATOS[],2,FALSE),"NO EXISTE")</f>
        <v>DETERGENTE EN POLVO VIRGINIA</v>
      </c>
      <c r="C24" s="11" t="str">
        <f>IFERROR(VLOOKUP(INVENTARIO[[#This Row],[CODIGO]],BASEDEDATOS[],3,FALSE),"NO EXISTE")</f>
        <v>LAVANDERIA</v>
      </c>
      <c r="D24" s="11">
        <v>18</v>
      </c>
      <c r="E24" s="11">
        <v>0</v>
      </c>
      <c r="F24" s="11">
        <f>INVENTARIO[[#This Row],[COMPRAS]]-INVENTARIO[[#This Row],[VENTAS]]</f>
        <v>18</v>
      </c>
      <c r="G24" s="6">
        <v>890</v>
      </c>
      <c r="H24" s="6">
        <v>2000</v>
      </c>
      <c r="I24" s="6">
        <f>INVENTARIO[[#This Row],[PRECIO DE VENTA]]-INVENTARIO[[#This Row],[COSTO UNITARIO]]</f>
        <v>1110</v>
      </c>
      <c r="J24" s="6">
        <f>INVENTARIO[[#This Row],[COSTO UNITARIO]]*INVENTARIO[[#This Row],[STOCK]]</f>
        <v>16020</v>
      </c>
      <c r="K24" s="6">
        <f>+INVENTARIO[[#This Row],[VENTAS]]*INVENTARIO[[#This Row],[UTILIDAD POR PRODUCTO]]</f>
        <v>0</v>
      </c>
    </row>
    <row r="25" spans="1:11" s="11" customFormat="1" x14ac:dyDescent="0.25">
      <c r="A25" t="s">
        <v>22</v>
      </c>
      <c r="B25" s="11" t="str">
        <f>IFERROR(VLOOKUP(INVENTARIO[[#This Row],[CODIGO]],BASEDEDATOS[],2,FALSE),"NO EXISTE")</f>
        <v>CLORO ROPA BLANCA SPUM DE 1 LITRO</v>
      </c>
      <c r="C25" s="11" t="str">
        <f>IFERROR(VLOOKUP(INVENTARIO[[#This Row],[CODIGO]],BASEDEDATOS[],3,FALSE),"NO EXISTE")</f>
        <v>LAVANDERIA</v>
      </c>
      <c r="D25" s="11">
        <v>12</v>
      </c>
      <c r="E25" s="11">
        <v>4</v>
      </c>
      <c r="F25" s="11">
        <f>INVENTARIO[[#This Row],[COMPRAS]]-INVENTARIO[[#This Row],[VENTAS]]</f>
        <v>8</v>
      </c>
      <c r="G25" s="6">
        <v>733</v>
      </c>
      <c r="H25" s="6">
        <v>1500</v>
      </c>
      <c r="I25" s="6">
        <f>INVENTARIO[[#This Row],[PRECIO DE VENTA]]-INVENTARIO[[#This Row],[COSTO UNITARIO]]</f>
        <v>767</v>
      </c>
      <c r="J25" s="6">
        <f>INVENTARIO[[#This Row],[COSTO UNITARIO]]*INVENTARIO[[#This Row],[STOCK]]</f>
        <v>5864</v>
      </c>
      <c r="K25" s="6">
        <f>+INVENTARIO[[#This Row],[VENTAS]]*INVENTARIO[[#This Row],[UTILIDAD POR PRODUCTO]]</f>
        <v>3068</v>
      </c>
    </row>
    <row r="26" spans="1:11" s="11" customFormat="1" x14ac:dyDescent="0.25">
      <c r="A26" t="s">
        <v>23</v>
      </c>
      <c r="B26" s="11" t="str">
        <f>IFERROR(VLOOKUP(INVENTARIO[[#This Row],[CODIGO]],BASEDEDATOS[],2,FALSE),"NO EXISTE")</f>
        <v>CLORO ROPA A COLOR SPUM DE 1 LITRO</v>
      </c>
      <c r="C26" s="11" t="str">
        <f>IFERROR(VLOOKUP(INVENTARIO[[#This Row],[CODIGO]],BASEDEDATOS[],3,FALSE),"NO EXISTE")</f>
        <v>LAVANDERIA</v>
      </c>
      <c r="D26" s="11">
        <v>24</v>
      </c>
      <c r="E26" s="11">
        <v>5</v>
      </c>
      <c r="F26" s="14">
        <f>INVENTARIO[[#This Row],[COMPRAS]]-INVENTARIO[[#This Row],[VENTAS]]</f>
        <v>19</v>
      </c>
      <c r="G26" s="6">
        <v>666</v>
      </c>
      <c r="H26" s="6">
        <v>1500</v>
      </c>
      <c r="I26" s="6">
        <f>INVENTARIO[[#This Row],[PRECIO DE VENTA]]-INVENTARIO[[#This Row],[COSTO UNITARIO]]</f>
        <v>834</v>
      </c>
      <c r="J26" s="6">
        <f>INVENTARIO[[#This Row],[COSTO UNITARIO]]*INVENTARIO[[#This Row],[STOCK]]</f>
        <v>12654</v>
      </c>
      <c r="K26" s="6">
        <f>+INVENTARIO[[#This Row],[VENTAS]]*INVENTARIO[[#This Row],[UTILIDAD POR PRODUCTO]]</f>
        <v>4170</v>
      </c>
    </row>
    <row r="27" spans="1:11" s="11" customFormat="1" x14ac:dyDescent="0.25">
      <c r="A27" s="11" t="s">
        <v>24</v>
      </c>
      <c r="B27" s="11" t="str">
        <f>IFERROR(VLOOKUP(INVENTARIO[[#This Row],[CODIGO]],BASEDEDATOS[],2,FALSE),"NO EXISTE")</f>
        <v xml:space="preserve">VANISH BLANCO </v>
      </c>
      <c r="C27" s="11" t="str">
        <f>IFERROR(VLOOKUP(INVENTARIO[[#This Row],[CODIGO]],BASEDEDATOS[],3,FALSE),"NO EXISTE")</f>
        <v>LAVANDERIA</v>
      </c>
      <c r="D27" s="11">
        <v>12</v>
      </c>
      <c r="E27" s="11">
        <v>10</v>
      </c>
      <c r="F27" s="11">
        <f>INVENTARIO[[#This Row],[COMPRAS]]-INVENTARIO[[#This Row],[VENTAS]]</f>
        <v>2</v>
      </c>
      <c r="G27" s="6">
        <v>303</v>
      </c>
      <c r="H27" s="6">
        <v>650</v>
      </c>
      <c r="I27" s="6">
        <f>INVENTARIO[[#This Row],[PRECIO DE VENTA]]-INVENTARIO[[#This Row],[COSTO UNITARIO]]</f>
        <v>347</v>
      </c>
      <c r="J27" s="6">
        <f>INVENTARIO[[#This Row],[COSTO UNITARIO]]*INVENTARIO[[#This Row],[STOCK]]</f>
        <v>606</v>
      </c>
      <c r="K27" s="6">
        <f>+INVENTARIO[[#This Row],[VENTAS]]*INVENTARIO[[#This Row],[UTILIDAD POR PRODUCTO]]</f>
        <v>3470</v>
      </c>
    </row>
    <row r="28" spans="1:11" s="11" customFormat="1" x14ac:dyDescent="0.25">
      <c r="A28" s="11" t="s">
        <v>25</v>
      </c>
      <c r="B28" s="11" t="str">
        <f>IFERROR(VLOOKUP(INVENTARIO[[#This Row],[CODIGO]],BASEDEDATOS[],2,FALSE),"NO EXISTE")</f>
        <v>VANISH ROSADO</v>
      </c>
      <c r="C28" s="11" t="str">
        <f>IFERROR(VLOOKUP(INVENTARIO[[#This Row],[CODIGO]],BASEDEDATOS[],3,FALSE),"NO EXISTE")</f>
        <v>LAVANDERIA</v>
      </c>
      <c r="D28" s="11">
        <v>12</v>
      </c>
      <c r="E28" s="11">
        <v>5</v>
      </c>
      <c r="F28" s="11">
        <f>INVENTARIO[[#This Row],[COMPRAS]]-INVENTARIO[[#This Row],[VENTAS]]</f>
        <v>7</v>
      </c>
      <c r="G28" s="6">
        <v>303</v>
      </c>
      <c r="H28" s="6">
        <v>650</v>
      </c>
      <c r="I28" s="6">
        <f>INVENTARIO[[#This Row],[PRECIO DE VENTA]]-INVENTARIO[[#This Row],[COSTO UNITARIO]]</f>
        <v>347</v>
      </c>
      <c r="J28" s="6">
        <f>INVENTARIO[[#This Row],[COSTO UNITARIO]]*INVENTARIO[[#This Row],[STOCK]]</f>
        <v>2121</v>
      </c>
      <c r="K28" s="6">
        <f>+INVENTARIO[[#This Row],[VENTAS]]*INVENTARIO[[#This Row],[UTILIDAD POR PRODUCTO]]</f>
        <v>1735</v>
      </c>
    </row>
    <row r="29" spans="1:11" x14ac:dyDescent="0.25">
      <c r="A29" t="s">
        <v>26</v>
      </c>
      <c r="B29" t="str">
        <f>IFERROR(VLOOKUP(INVENTARIO[[#This Row],[CODIGO]],BASEDEDATOS[],2,FALSE),"NO EXISTE")</f>
        <v>CLORO CONCENTRADO DE 5 LITROS</v>
      </c>
      <c r="C29" t="str">
        <f>IFERROR(VLOOKUP(INVENTARIO[[#This Row],[CODIGO]],BASEDEDATOS[],3,FALSE),"NO EXISTE")</f>
        <v>DESINFECCIÓN</v>
      </c>
      <c r="D29">
        <v>0</v>
      </c>
      <c r="E29" cm="1">
        <f t="array" ref="E29">SUM(SUMIF(VENTAS[CODIGO],INVENTARIO!A28:A31,VENTAS[CANTIDAD]))</f>
        <v>0</v>
      </c>
      <c r="F29">
        <f>INVENTARIO[[#This Row],[COMPRAS]]-INVENTARIO[[#This Row],[VENTAS]]</f>
        <v>0</v>
      </c>
      <c r="G29" s="5">
        <v>0</v>
      </c>
      <c r="H29" s="5">
        <v>0</v>
      </c>
      <c r="I29" s="5">
        <f>INVENTARIO[[#This Row],[PRECIO DE VENTA]]-INVENTARIO[[#This Row],[COSTO UNITARIO]]</f>
        <v>0</v>
      </c>
      <c r="J29" s="5">
        <f>INVENTARIO[[#This Row],[COSTO UNITARIO]]*INVENTARIO[[#This Row],[STOCK]]</f>
        <v>0</v>
      </c>
      <c r="K29" s="5">
        <f>+INVENTARIO[[#This Row],[VENTAS]]*INVENTARIO[[#This Row],[UTILIDAD POR PRODUCTO]]</f>
        <v>0</v>
      </c>
    </row>
    <row r="30" spans="1:11" x14ac:dyDescent="0.25">
      <c r="A30" t="s">
        <v>27</v>
      </c>
      <c r="B30" t="str">
        <f>IFERROR(VLOOKUP(INVENTARIO[[#This Row],[CODIGO]],BASEDEDATOS[],2,FALSE),"NO EXISTE")</f>
        <v>CLORINDA DE 1 LITRO</v>
      </c>
      <c r="C30" t="str">
        <f>IFERROR(VLOOKUP(INVENTARIO[[#This Row],[CODIGO]],BASEDEDATOS[],3,FALSE),"NO EXISTE")</f>
        <v>DESINFECCIÓN</v>
      </c>
      <c r="D30">
        <v>0</v>
      </c>
      <c r="E30" cm="1">
        <f t="array" ref="E30">SUM(SUMIF(VENTAS[CODIGO],INVENTARIO!A29:A32,VENTAS[CANTIDAD]))</f>
        <v>0</v>
      </c>
      <c r="F30">
        <f>INVENTARIO[[#This Row],[COMPRAS]]-INVENTARIO[[#This Row],[VENTAS]]</f>
        <v>0</v>
      </c>
      <c r="G30" s="5">
        <v>0</v>
      </c>
      <c r="H30" s="5">
        <v>0</v>
      </c>
      <c r="I30" s="5">
        <f>INVENTARIO[[#This Row],[PRECIO DE VENTA]]-INVENTARIO[[#This Row],[COSTO UNITARIO]]</f>
        <v>0</v>
      </c>
      <c r="J30" s="5">
        <f>INVENTARIO[[#This Row],[COSTO UNITARIO]]*INVENTARIO[[#This Row],[STOCK]]</f>
        <v>0</v>
      </c>
      <c r="K30" s="5">
        <f>+INVENTARIO[[#This Row],[VENTAS]]*INVENTARIO[[#This Row],[UTILIDAD POR PRODUCTO]]</f>
        <v>0</v>
      </c>
    </row>
    <row r="31" spans="1:11" x14ac:dyDescent="0.25">
      <c r="A31" t="s">
        <v>28</v>
      </c>
      <c r="B31" t="str">
        <f>IFERROR(VLOOKUP(INVENTARIO[[#This Row],[CODIGO]],BASEDEDATOS[],2,FALSE),"NO EXISTE")</f>
        <v>CLORO GEL CLOROX</v>
      </c>
      <c r="C31" t="str">
        <f>IFERROR(VLOOKUP(INVENTARIO[[#This Row],[CODIGO]],BASEDEDATOS[],3,FALSE),"NO EXISTE")</f>
        <v>DESINFECCIÓN</v>
      </c>
      <c r="D31">
        <v>0</v>
      </c>
      <c r="E31">
        <v>0</v>
      </c>
      <c r="F31">
        <f>INVENTARIO[[#This Row],[COMPRAS]]-INVENTARIO[[#This Row],[VENTAS]]</f>
        <v>0</v>
      </c>
      <c r="G31" s="5">
        <v>0</v>
      </c>
      <c r="H31" s="5">
        <v>0</v>
      </c>
      <c r="I31" s="5">
        <f>INVENTARIO[[#This Row],[PRECIO DE VENTA]]-INVENTARIO[[#This Row],[COSTO UNITARIO]]</f>
        <v>0</v>
      </c>
      <c r="J31" s="5">
        <f>INVENTARIO[[#This Row],[COSTO UNITARIO]]*INVENTARIO[[#This Row],[STOCK]]</f>
        <v>0</v>
      </c>
      <c r="K31" s="5">
        <f>+INVENTARIO[[#This Row],[VENTAS]]*INVENTARIO[[#This Row],[UTILIDAD POR PRODUCTO]]</f>
        <v>0</v>
      </c>
    </row>
    <row r="32" spans="1:11" s="11" customFormat="1" x14ac:dyDescent="0.25">
      <c r="A32" t="s">
        <v>29</v>
      </c>
      <c r="B32" s="11" t="str">
        <f>IFERROR(VLOOKUP(INVENTARIO[[#This Row],[CODIGO]],BASEDEDATOS[],2,FALSE),"NO EXISTE")</f>
        <v>CLORO IGENIX LIQUIDO</v>
      </c>
      <c r="C32" s="11" t="str">
        <f>IFERROR(VLOOKUP(INVENTARIO[[#This Row],[CODIGO]],BASEDEDATOS[],3,FALSE),"NO EXISTE")</f>
        <v>DESINFECCIÓN</v>
      </c>
      <c r="D32" s="11">
        <v>12</v>
      </c>
      <c r="E32" s="11">
        <v>2</v>
      </c>
      <c r="F32" s="14">
        <f>INVENTARIO[[#This Row],[COMPRAS]]-INVENTARIO[[#This Row],[VENTAS]]</f>
        <v>10</v>
      </c>
      <c r="G32" s="6">
        <v>690</v>
      </c>
      <c r="H32" s="6">
        <v>1000</v>
      </c>
      <c r="I32" s="6">
        <f>INVENTARIO[[#This Row],[PRECIO DE VENTA]]-INVENTARIO[[#This Row],[COSTO UNITARIO]]</f>
        <v>310</v>
      </c>
      <c r="J32" s="6">
        <f>INVENTARIO[[#This Row],[COSTO UNITARIO]]*INVENTARIO[[#This Row],[STOCK]]</f>
        <v>6900</v>
      </c>
      <c r="K32" s="6">
        <f>+INVENTARIO[[#This Row],[VENTAS]]*INVENTARIO[[#This Row],[UTILIDAD POR PRODUCTO]]</f>
        <v>620</v>
      </c>
    </row>
    <row r="33" spans="1:11" s="11" customFormat="1" x14ac:dyDescent="0.25">
      <c r="A33" s="11" t="s">
        <v>47</v>
      </c>
      <c r="B33" s="11" t="str">
        <f>IFERROR(VLOOKUP(INVENTARIO[[#This Row],[CODIGO]],BASEDEDATOS[],2,FALSE),"NO EXISTE")</f>
        <v>CLORINDA CLORO GEL</v>
      </c>
      <c r="C33" s="11" t="str">
        <f>IFERROR(VLOOKUP(INVENTARIO[[#This Row],[CODIGO]],BASEDEDATOS[],3,FALSE),"NO EXISTE")</f>
        <v>DESINFECCIÓN</v>
      </c>
      <c r="D33" s="11">
        <v>24</v>
      </c>
      <c r="E33" s="11">
        <v>5</v>
      </c>
      <c r="F33" s="11">
        <f>INVENTARIO[[#This Row],[COMPRAS]]-INVENTARIO[[#This Row],[VENTAS]]</f>
        <v>19</v>
      </c>
      <c r="G33" s="6">
        <v>1050</v>
      </c>
      <c r="H33" s="6">
        <v>1900</v>
      </c>
      <c r="I33" s="6">
        <f>INVENTARIO[[#This Row],[PRECIO DE VENTA]]-INVENTARIO[[#This Row],[COSTO UNITARIO]]</f>
        <v>850</v>
      </c>
      <c r="J33" s="6">
        <f>INVENTARIO[[#This Row],[COSTO UNITARIO]]*INVENTARIO[[#This Row],[STOCK]]</f>
        <v>19950</v>
      </c>
      <c r="K33" s="6">
        <f>+INVENTARIO[[#This Row],[VENTAS]]*INVENTARIO[[#This Row],[UTILIDAD POR PRODUCTO]]</f>
        <v>4250</v>
      </c>
    </row>
    <row r="34" spans="1:11" s="11" customFormat="1" x14ac:dyDescent="0.25">
      <c r="A34" s="11" t="s">
        <v>48</v>
      </c>
      <c r="B34" s="11" t="str">
        <f>IFERROR(VLOOKUP(INVENTARIO[[#This Row],[CODIGO]],BASEDEDATOS[],2,FALSE),"NO EXISTE")</f>
        <v>CLORINDA CLORO GEL EXCEL MORADO</v>
      </c>
      <c r="C34" s="11" t="str">
        <f>IFERROR(VLOOKUP(INVENTARIO[[#This Row],[CODIGO]],BASEDEDATOS[],3,FALSE),"NO EXISTE")</f>
        <v>DESINFECCIÓN</v>
      </c>
      <c r="D34" s="11">
        <v>12</v>
      </c>
      <c r="E34" s="11">
        <v>0</v>
      </c>
      <c r="F34" s="14">
        <f>INVENTARIO[[#This Row],[COMPRAS]]-INVENTARIO[[#This Row],[VENTAS]]</f>
        <v>12</v>
      </c>
      <c r="G34" s="12">
        <v>797</v>
      </c>
      <c r="H34" s="6">
        <v>1300</v>
      </c>
      <c r="I34" s="6">
        <f>INVENTARIO[[#This Row],[PRECIO DE VENTA]]-INVENTARIO[[#This Row],[COSTO UNITARIO]]</f>
        <v>503</v>
      </c>
      <c r="J34" s="6">
        <f>INVENTARIO[[#This Row],[COSTO UNITARIO]]*INVENTARIO[[#This Row],[STOCK]]</f>
        <v>9564</v>
      </c>
      <c r="K34" s="6">
        <f>+INVENTARIO[[#This Row],[VENTAS]]*INVENTARIO[[#This Row],[UTILIDAD POR PRODUCTO]]</f>
        <v>0</v>
      </c>
    </row>
    <row r="35" spans="1:11" s="11" customFormat="1" x14ac:dyDescent="0.25">
      <c r="A35" s="11" t="s">
        <v>49</v>
      </c>
      <c r="B35" s="11" t="str">
        <f>IFERROR(VLOOKUP(INVENTARIO[[#This Row],[CODIGO]],BASEDEDATOS[],2,FALSE),"NO EXISTE")</f>
        <v>CLORINDA CLORO GEL EXCEL AMARILLO</v>
      </c>
      <c r="C35" s="11" t="str">
        <f>IFERROR(VLOOKUP(INVENTARIO[[#This Row],[CODIGO]],BASEDEDATOS[],3,FALSE),"NO EXISTE")</f>
        <v>DESINFECCIÓN</v>
      </c>
      <c r="D35" s="11">
        <v>12</v>
      </c>
      <c r="E35" s="11">
        <v>2</v>
      </c>
      <c r="F35" s="14">
        <f>INVENTARIO[[#This Row],[COMPRAS]]-INVENTARIO[[#This Row],[VENTAS]]</f>
        <v>10</v>
      </c>
      <c r="G35" s="12">
        <v>797</v>
      </c>
      <c r="H35" s="6">
        <v>1300</v>
      </c>
      <c r="I35" s="6">
        <f>INVENTARIO[[#This Row],[PRECIO DE VENTA]]-INVENTARIO[[#This Row],[COSTO UNITARIO]]</f>
        <v>503</v>
      </c>
      <c r="J35" s="6">
        <f>INVENTARIO[[#This Row],[COSTO UNITARIO]]*INVENTARIO[[#This Row],[STOCK]]</f>
        <v>7970</v>
      </c>
      <c r="K35" s="6">
        <f>+INVENTARIO[[#This Row],[VENTAS]]*INVENTARIO[[#This Row],[UTILIDAD POR PRODUCTO]]</f>
        <v>1006</v>
      </c>
    </row>
    <row r="36" spans="1:11" x14ac:dyDescent="0.25">
      <c r="A36" t="s">
        <v>50</v>
      </c>
      <c r="B36" t="str">
        <f>IFERROR(VLOOKUP(INVENTARIO[[#This Row],[CODIGO]],BASEDEDATOS[],2,FALSE),"NO EXISTE")</f>
        <v>ANTIGRASA SPUM DE 2 LITROS</v>
      </c>
      <c r="C36" t="str">
        <f>IFERROR(VLOOKUP(INVENTARIO[[#This Row],[CODIGO]],BASEDEDATOS[],3,FALSE),"NO EXISTE")</f>
        <v>COCINA</v>
      </c>
      <c r="D36">
        <v>10</v>
      </c>
      <c r="E36">
        <v>2</v>
      </c>
      <c r="F36">
        <f>INVENTARIO[[#This Row],[COMPRAS]]-INVENTARIO[[#This Row],[VENTAS]]</f>
        <v>8</v>
      </c>
      <c r="G36" s="5">
        <v>1049</v>
      </c>
      <c r="H36" s="5">
        <v>2000</v>
      </c>
      <c r="I36" s="5">
        <f>INVENTARIO[[#This Row],[PRECIO DE VENTA]]-INVENTARIO[[#This Row],[COSTO UNITARIO]]</f>
        <v>951</v>
      </c>
      <c r="J36" s="5">
        <f>INVENTARIO[[#This Row],[COSTO UNITARIO]]*INVENTARIO[[#This Row],[STOCK]]</f>
        <v>8392</v>
      </c>
      <c r="K36" s="5">
        <f>+INVENTARIO[[#This Row],[VENTAS]]*INVENTARIO[[#This Row],[UTILIDAD POR PRODUCTO]]</f>
        <v>1902</v>
      </c>
    </row>
    <row r="37" spans="1:11" x14ac:dyDescent="0.25">
      <c r="A37" t="s">
        <v>51</v>
      </c>
      <c r="B37" t="str">
        <f>IFERROR(VLOOKUP(INVENTARIO[[#This Row],[CODIGO]],BASEDEDATOS[],2,FALSE),"NO EXISTE")</f>
        <v>ANTIGRASA SPUM DE 500 ML</v>
      </c>
      <c r="C37" t="str">
        <f>IFERROR(VLOOKUP(INVENTARIO[[#This Row],[CODIGO]],BASEDEDATOS[],3,FALSE),"NO EXISTE")</f>
        <v>COCINA</v>
      </c>
      <c r="D37">
        <v>12</v>
      </c>
      <c r="E37">
        <v>6</v>
      </c>
      <c r="F37">
        <f>INVENTARIO[[#This Row],[COMPRAS]]-INVENTARIO[[#This Row],[VENTAS]]</f>
        <v>6</v>
      </c>
      <c r="G37" s="5">
        <v>700</v>
      </c>
      <c r="H37" s="5">
        <v>1400</v>
      </c>
      <c r="I37" s="5">
        <f>INVENTARIO[[#This Row],[PRECIO DE VENTA]]-INVENTARIO[[#This Row],[COSTO UNITARIO]]</f>
        <v>700</v>
      </c>
      <c r="J37" s="5">
        <f>INVENTARIO[[#This Row],[COSTO UNITARIO]]*INVENTARIO[[#This Row],[STOCK]]</f>
        <v>4200</v>
      </c>
      <c r="K37" s="5">
        <f>+INVENTARIO[[#This Row],[VENTAS]]*INVENTARIO[[#This Row],[UTILIDAD POR PRODUCTO]]</f>
        <v>4200</v>
      </c>
    </row>
    <row r="38" spans="1:11" s="11" customFormat="1" x14ac:dyDescent="0.25">
      <c r="A38" s="11" t="s">
        <v>53</v>
      </c>
      <c r="B38" s="11" t="str">
        <f>IFERROR(VLOOKUP(INVENTARIO[[#This Row],[CODIGO]],BASEDEDATOS[],2,FALSE),"NO EXISTE")</f>
        <v>SACASARRO SPUM DE 2 LITROS</v>
      </c>
      <c r="C38" s="11" t="str">
        <f>IFERROR(VLOOKUP(INVENTARIO[[#This Row],[CODIGO]],BASEDEDATOS[],3,FALSE),"NO EXISTE")</f>
        <v>COCINA</v>
      </c>
      <c r="D38" s="11">
        <v>9</v>
      </c>
      <c r="E38" s="11">
        <v>2</v>
      </c>
      <c r="F38" s="14">
        <f>INVENTARIO[[#This Row],[COMPRAS]]-INVENTARIO[[#This Row],[VENTAS]]</f>
        <v>7</v>
      </c>
      <c r="G38" s="6">
        <v>888</v>
      </c>
      <c r="H38" s="6">
        <v>2300</v>
      </c>
      <c r="I38" s="6">
        <f>INVENTARIO[[#This Row],[PRECIO DE VENTA]]-INVENTARIO[[#This Row],[COSTO UNITARIO]]</f>
        <v>1412</v>
      </c>
      <c r="J38" s="6">
        <f>INVENTARIO[[#This Row],[COSTO UNITARIO]]*INVENTARIO[[#This Row],[STOCK]]</f>
        <v>6216</v>
      </c>
      <c r="K38" s="6">
        <f>+INVENTARIO[[#This Row],[VENTAS]]*INVENTARIO[[#This Row],[UTILIDAD POR PRODUCTO]]</f>
        <v>2824</v>
      </c>
    </row>
    <row r="39" spans="1:11" s="11" customFormat="1" x14ac:dyDescent="0.25">
      <c r="A39" s="11" t="s">
        <v>54</v>
      </c>
      <c r="B39" s="11" t="str">
        <f>IFERROR(VLOOKUP(INVENTARIO[[#This Row],[CODIGO]],BASEDEDATOS[],2,FALSE),"NO EXISTE")</f>
        <v>SACASARRO SPUM DE 500 ML</v>
      </c>
      <c r="C39" s="11" t="str">
        <f>IFERROR(VLOOKUP(INVENTARIO[[#This Row],[CODIGO]],BASEDEDATOS[],3,FALSE),"NO EXISTE")</f>
        <v>COCINA</v>
      </c>
      <c r="D39" s="11">
        <v>10</v>
      </c>
      <c r="E39" s="11">
        <v>0</v>
      </c>
      <c r="F39" s="14">
        <f>INVENTARIO[[#This Row],[COMPRAS]]-INVENTARIO[[#This Row],[VENTAS]]</f>
        <v>10</v>
      </c>
      <c r="G39" s="6">
        <v>970</v>
      </c>
      <c r="H39" s="6">
        <v>2000</v>
      </c>
      <c r="I39" s="6">
        <f>INVENTARIO[[#This Row],[PRECIO DE VENTA]]-INVENTARIO[[#This Row],[COSTO UNITARIO]]</f>
        <v>1030</v>
      </c>
      <c r="J39" s="6">
        <f>INVENTARIO[[#This Row],[COSTO UNITARIO]]*INVENTARIO[[#This Row],[STOCK]]</f>
        <v>9700</v>
      </c>
      <c r="K39" s="6">
        <f>+INVENTARIO[[#This Row],[VENTAS]]*INVENTARIO[[#This Row],[UTILIDAD POR PRODUCTO]]</f>
        <v>0</v>
      </c>
    </row>
    <row r="40" spans="1:11" s="11" customFormat="1" x14ac:dyDescent="0.25">
      <c r="A40" s="11" t="s">
        <v>55</v>
      </c>
      <c r="B40" s="11" t="str">
        <f>IFERROR(VLOOKUP(INVENTARIO[[#This Row],[CODIGO]],BASEDEDATOS[],2,FALSE),"NO EXISTE")</f>
        <v>LAVALOSA SPUM DE 1 LITRO</v>
      </c>
      <c r="C40" s="11" t="str">
        <f>IFERROR(VLOOKUP(INVENTARIO[[#This Row],[CODIGO]],BASEDEDATOS[],3,FALSE),"NO EXISTE")</f>
        <v>COCINA</v>
      </c>
      <c r="D40" s="11">
        <v>12</v>
      </c>
      <c r="E40" s="11">
        <v>2</v>
      </c>
      <c r="F40" s="14">
        <f>INVENTARIO[[#This Row],[COMPRAS]]-INVENTARIO[[#This Row],[VENTAS]]</f>
        <v>10</v>
      </c>
      <c r="G40" s="6">
        <v>650</v>
      </c>
      <c r="H40" s="6">
        <v>1400</v>
      </c>
      <c r="I40" s="6">
        <f>INVENTARIO[[#This Row],[PRECIO DE VENTA]]-INVENTARIO[[#This Row],[COSTO UNITARIO]]</f>
        <v>750</v>
      </c>
      <c r="J40" s="6">
        <f>INVENTARIO[[#This Row],[COSTO UNITARIO]]*INVENTARIO[[#This Row],[STOCK]]</f>
        <v>6500</v>
      </c>
      <c r="K40" s="6">
        <f>+INVENTARIO[[#This Row],[VENTAS]]*INVENTARIO[[#This Row],[UTILIDAD POR PRODUCTO]]</f>
        <v>1500</v>
      </c>
    </row>
    <row r="41" spans="1:11" s="11" customFormat="1" x14ac:dyDescent="0.25">
      <c r="A41" s="11" t="s">
        <v>56</v>
      </c>
      <c r="B41" s="11" t="str">
        <f>IFERROR(VLOOKUP(INVENTARIO[[#This Row],[CODIGO]],BASEDEDATOS[],2,FALSE),"NO EXISTE")</f>
        <v>LAVALOSA SPUM DE 2 LITROS</v>
      </c>
      <c r="C41" s="11" t="str">
        <f>IFERROR(VLOOKUP(INVENTARIO[[#This Row],[CODIGO]],BASEDEDATOS[],3,FALSE),"NO EXISTE")</f>
        <v>COCINA</v>
      </c>
      <c r="D41" s="11">
        <v>9</v>
      </c>
      <c r="E41" s="11">
        <v>3</v>
      </c>
      <c r="F41" s="14">
        <f>INVENTARIO[[#This Row],[COMPRAS]]-INVENTARIO[[#This Row],[VENTAS]]</f>
        <v>6</v>
      </c>
      <c r="G41" s="6">
        <v>1010</v>
      </c>
      <c r="H41" s="6">
        <v>2300</v>
      </c>
      <c r="I41" s="6">
        <f>INVENTARIO[[#This Row],[PRECIO DE VENTA]]-INVENTARIO[[#This Row],[COSTO UNITARIO]]</f>
        <v>1290</v>
      </c>
      <c r="J41" s="6">
        <f>INVENTARIO[[#This Row],[COSTO UNITARIO]]*INVENTARIO[[#This Row],[STOCK]]</f>
        <v>6060</v>
      </c>
      <c r="K41" s="6">
        <f>+INVENTARIO[[#This Row],[VENTAS]]*INVENTARIO[[#This Row],[UTILIDAD POR PRODUCTO]]</f>
        <v>3870</v>
      </c>
    </row>
    <row r="42" spans="1:11" s="11" customFormat="1" x14ac:dyDescent="0.25">
      <c r="A42" s="11" t="s">
        <v>57</v>
      </c>
      <c r="B42" s="11" t="str">
        <f>IFERROR(VLOOKUP(INVENTARIO[[#This Row],[CODIGO]],BASEDEDATOS[],2,FALSE),"NO EXISTE")</f>
        <v>LAVALOSA SPUM DE 5 LITROS</v>
      </c>
      <c r="C42" s="11" t="str">
        <f>IFERROR(VLOOKUP(INVENTARIO[[#This Row],[CODIGO]],BASEDEDATOS[],3,FALSE),"NO EXISTE")</f>
        <v>COCINA</v>
      </c>
      <c r="D42" s="11">
        <v>10</v>
      </c>
      <c r="E42" s="11">
        <v>0</v>
      </c>
      <c r="F42" s="11">
        <f>INVENTARIO[[#This Row],[COMPRAS]]-INVENTARIO[[#This Row],[VENTAS]]</f>
        <v>10</v>
      </c>
      <c r="G42" s="6">
        <v>2300</v>
      </c>
      <c r="H42" s="6">
        <v>4000</v>
      </c>
      <c r="I42" s="6">
        <f>INVENTARIO[[#This Row],[PRECIO DE VENTA]]-INVENTARIO[[#This Row],[COSTO UNITARIO]]</f>
        <v>1700</v>
      </c>
      <c r="J42" s="6">
        <f>INVENTARIO[[#This Row],[COSTO UNITARIO]]*INVENTARIO[[#This Row],[STOCK]]</f>
        <v>23000</v>
      </c>
      <c r="K42" s="6">
        <f>+INVENTARIO[[#This Row],[VENTAS]]*INVENTARIO[[#This Row],[UTILIDAD POR PRODUCTO]]</f>
        <v>0</v>
      </c>
    </row>
    <row r="43" spans="1:11" x14ac:dyDescent="0.25">
      <c r="A43" t="s">
        <v>58</v>
      </c>
      <c r="B43" t="str">
        <f>IFERROR(VLOOKUP(INVENTARIO[[#This Row],[CODIGO]],BASEDEDATOS[],2,FALSE),"NO EXISTE")</f>
        <v>LAVALOSA QUIX</v>
      </c>
      <c r="C43" t="str">
        <f>IFERROR(VLOOKUP(INVENTARIO[[#This Row],[CODIGO]],BASEDEDATOS[],3,FALSE),"NO EXISTE")</f>
        <v>COCINA</v>
      </c>
      <c r="D43">
        <v>0</v>
      </c>
      <c r="E43" cm="1">
        <f t="array" ref="E43">SUM(SUMIF(VENTAS[CODIGO],INVENTARIO!A42:A45,VENTAS[CANTIDAD]))</f>
        <v>0</v>
      </c>
      <c r="F43">
        <f>INVENTARIO[[#This Row],[COMPRAS]]-INVENTARIO[[#This Row],[VENTAS]]</f>
        <v>0</v>
      </c>
      <c r="G43" s="5">
        <v>0</v>
      </c>
      <c r="H43" s="5">
        <v>0</v>
      </c>
      <c r="I43" s="5">
        <f>INVENTARIO[[#This Row],[PRECIO DE VENTA]]-INVENTARIO[[#This Row],[COSTO UNITARIO]]</f>
        <v>0</v>
      </c>
      <c r="J43" s="5">
        <f>INVENTARIO[[#This Row],[COSTO UNITARIO]]*INVENTARIO[[#This Row],[STOCK]]</f>
        <v>0</v>
      </c>
      <c r="K43" s="5">
        <f>+INVENTARIO[[#This Row],[VENTAS]]*INVENTARIO[[#This Row],[UTILIDAD POR PRODUCTO]]</f>
        <v>0</v>
      </c>
    </row>
    <row r="44" spans="1:11" s="11" customFormat="1" x14ac:dyDescent="0.25">
      <c r="A44" s="11" t="s">
        <v>59</v>
      </c>
      <c r="B44" s="11" t="str">
        <f>IFERROR(VLOOKUP(INVENTARIO[[#This Row],[CODIGO]],BASEDEDATOS[],2,FALSE),"NO EXISTE")</f>
        <v>CIF</v>
      </c>
      <c r="C44" s="11" t="str">
        <f>IFERROR(VLOOKUP(INVENTARIO[[#This Row],[CODIGO]],BASEDEDATOS[],3,FALSE),"NO EXISTE")</f>
        <v>COCINA</v>
      </c>
      <c r="D44" s="13">
        <v>12</v>
      </c>
      <c r="E44" s="11">
        <v>6</v>
      </c>
      <c r="F44" s="11">
        <f>INVENTARIO[[#This Row],[COMPRAS]]-INVENTARIO[[#This Row],[VENTAS]]</f>
        <v>6</v>
      </c>
      <c r="G44" s="12">
        <v>1010</v>
      </c>
      <c r="H44" s="6">
        <v>2200</v>
      </c>
      <c r="I44" s="6">
        <f>INVENTARIO[[#This Row],[PRECIO DE VENTA]]-INVENTARIO[[#This Row],[COSTO UNITARIO]]</f>
        <v>1190</v>
      </c>
      <c r="J44" s="6">
        <f>INVENTARIO[[#This Row],[COSTO UNITARIO]]*INVENTARIO[[#This Row],[STOCK]]</f>
        <v>6060</v>
      </c>
      <c r="K44" s="6">
        <f>+INVENTARIO[[#This Row],[VENTAS]]*INVENTARIO[[#This Row],[UTILIDAD POR PRODUCTO]]</f>
        <v>7140</v>
      </c>
    </row>
    <row r="45" spans="1:11" s="11" customFormat="1" x14ac:dyDescent="0.25">
      <c r="A45" s="11" t="s">
        <v>60</v>
      </c>
      <c r="B45" s="11" t="str">
        <f>IFERROR(VLOOKUP(INVENTARIO[[#This Row],[CODIGO]],BASEDEDATOS[],2,FALSE),"NO EXISTE")</f>
        <v>LUSTRA MUEBLES</v>
      </c>
      <c r="C45" s="11" t="str">
        <f>IFERROR(VLOOKUP(INVENTARIO[[#This Row],[CODIGO]],BASEDEDATOS[],3,FALSE),"NO EXISTE")</f>
        <v>COCINA</v>
      </c>
      <c r="D45" s="11">
        <v>6</v>
      </c>
      <c r="E45" s="11">
        <v>1</v>
      </c>
      <c r="F45" s="11">
        <f>INVENTARIO[[#This Row],[COMPRAS]]-INVENTARIO[[#This Row],[VENTAS]]</f>
        <v>5</v>
      </c>
      <c r="G45" s="6">
        <v>1090</v>
      </c>
      <c r="H45" s="6">
        <v>1500</v>
      </c>
      <c r="I45" s="6">
        <f>INVENTARIO[[#This Row],[PRECIO DE VENTA]]-INVENTARIO[[#This Row],[COSTO UNITARIO]]</f>
        <v>410</v>
      </c>
      <c r="J45" s="6">
        <f>INVENTARIO[[#This Row],[COSTO UNITARIO]]*INVENTARIO[[#This Row],[STOCK]]</f>
        <v>5450</v>
      </c>
      <c r="K45" s="6">
        <f>+INVENTARIO[[#This Row],[VENTAS]]*INVENTARIO[[#This Row],[UTILIDAD POR PRODUCTO]]</f>
        <v>410</v>
      </c>
    </row>
    <row r="46" spans="1:11" s="11" customFormat="1" x14ac:dyDescent="0.25">
      <c r="A46" s="11" t="s">
        <v>61</v>
      </c>
      <c r="B46" s="11" t="str">
        <f>IFERROR(VLOOKUP(INVENTARIO[[#This Row],[CODIGO]],BASEDEDATOS[],2,FALSE),"NO EXISTE")</f>
        <v>LIMPIA VIDRIOS DE 500CC</v>
      </c>
      <c r="C46" s="11" t="str">
        <f>IFERROR(VLOOKUP(INVENTARIO[[#This Row],[CODIGO]],BASEDEDATOS[],3,FALSE),"NO EXISTE")</f>
        <v>COCINA</v>
      </c>
      <c r="D46" s="11">
        <v>12</v>
      </c>
      <c r="E46" s="11">
        <v>8</v>
      </c>
      <c r="F46" s="11">
        <f>INVENTARIO[[#This Row],[COMPRAS]]-INVENTARIO[[#This Row],[VENTAS]]</f>
        <v>4</v>
      </c>
      <c r="G46" s="6">
        <v>900</v>
      </c>
      <c r="H46" s="6">
        <v>2000</v>
      </c>
      <c r="I46" s="6">
        <f>INVENTARIO[[#This Row],[PRECIO DE VENTA]]-INVENTARIO[[#This Row],[COSTO UNITARIO]]</f>
        <v>1100</v>
      </c>
      <c r="J46" s="6">
        <f>INVENTARIO[[#This Row],[COSTO UNITARIO]]*INVENTARIO[[#This Row],[STOCK]]</f>
        <v>3600</v>
      </c>
      <c r="K46" s="6">
        <f>+INVENTARIO[[#This Row],[VENTAS]]*INVENTARIO[[#This Row],[UTILIDAD POR PRODUCTO]]</f>
        <v>8800</v>
      </c>
    </row>
    <row r="47" spans="1:11" s="11" customFormat="1" x14ac:dyDescent="0.25">
      <c r="A47" s="11" t="s">
        <v>62</v>
      </c>
      <c r="B47" s="11" t="str">
        <f>IFERROR(VLOOKUP(INVENTARIO[[#This Row],[CODIGO]],BASEDEDATOS[],2,FALSE),"NO EXISTE")</f>
        <v>LIMPIA PISOS FLOTANTE</v>
      </c>
      <c r="C47" s="11" t="str">
        <f>IFERROR(VLOOKUP(INVENTARIO[[#This Row],[CODIGO]],BASEDEDATOS[],3,FALSE),"NO EXISTE")</f>
        <v>COCINA</v>
      </c>
      <c r="D47" s="11">
        <v>12</v>
      </c>
      <c r="E47" s="11">
        <v>2</v>
      </c>
      <c r="F47" s="14">
        <f>INVENTARIO[[#This Row],[COMPRAS]]-INVENTARIO[[#This Row],[VENTAS]]</f>
        <v>10</v>
      </c>
      <c r="G47" s="6">
        <v>625</v>
      </c>
      <c r="H47" s="6">
        <v>1000</v>
      </c>
      <c r="I47" s="6">
        <f>INVENTARIO[[#This Row],[PRECIO DE VENTA]]-INVENTARIO[[#This Row],[COSTO UNITARIO]]</f>
        <v>375</v>
      </c>
      <c r="J47" s="6">
        <f>INVENTARIO[[#This Row],[COSTO UNITARIO]]*INVENTARIO[[#This Row],[STOCK]]</f>
        <v>6250</v>
      </c>
      <c r="K47" s="6">
        <f>+INVENTARIO[[#This Row],[VENTAS]]*INVENTARIO[[#This Row],[UTILIDAD POR PRODUCTO]]</f>
        <v>750</v>
      </c>
    </row>
    <row r="48" spans="1:11" s="11" customFormat="1" x14ac:dyDescent="0.25">
      <c r="A48" s="11" t="s">
        <v>67</v>
      </c>
      <c r="B48" s="11" t="str">
        <f>IFERROR(VLOOKUP(INVENTARIO[[#This Row],[CODIGO]],BASEDEDATOS[],2,FALSE),"NO EXISTE")</f>
        <v xml:space="preserve">VIRUTILLA </v>
      </c>
      <c r="C48" s="11" t="str">
        <f>IFERROR(VLOOKUP(INVENTARIO[[#This Row],[CODIGO]],BASEDEDATOS[],3,FALSE),"NO EXISTE")</f>
        <v>COCINA</v>
      </c>
      <c r="D48" s="13">
        <v>24</v>
      </c>
      <c r="E48" s="11">
        <v>8</v>
      </c>
      <c r="F48" s="11">
        <f>INVENTARIO[[#This Row],[COMPRAS]]-INVENTARIO[[#This Row],[VENTAS]]</f>
        <v>16</v>
      </c>
      <c r="G48" s="12">
        <v>500</v>
      </c>
      <c r="H48" s="6">
        <v>1000</v>
      </c>
      <c r="I48" s="6">
        <f>INVENTARIO[[#This Row],[PRECIO DE VENTA]]-INVENTARIO[[#This Row],[COSTO UNITARIO]]</f>
        <v>500</v>
      </c>
      <c r="J48" s="6">
        <f>INVENTARIO[[#This Row],[COSTO UNITARIO]]*INVENTARIO[[#This Row],[STOCK]]</f>
        <v>8000</v>
      </c>
      <c r="K48" s="6">
        <f>+INVENTARIO[[#This Row],[VENTAS]]*INVENTARIO[[#This Row],[UTILIDAD POR PRODUCTO]]</f>
        <v>4000</v>
      </c>
    </row>
    <row r="49" spans="1:11" s="11" customFormat="1" x14ac:dyDescent="0.25">
      <c r="A49" s="11" t="s">
        <v>68</v>
      </c>
      <c r="B49" s="11" t="str">
        <f>IFERROR(VLOOKUP(INVENTARIO[[#This Row],[CODIGO]],BASEDEDATOS[],2,FALSE),"NO EXISTE")</f>
        <v>LIMPIA PISOS SPUM COLOR ROJO</v>
      </c>
      <c r="C49" s="11" t="str">
        <f>IFERROR(VLOOKUP(INVENTARIO[[#This Row],[CODIGO]],BASEDEDATOS[],3,FALSE),"NO EXISTE")</f>
        <v>SUPERFICIE</v>
      </c>
      <c r="D49" s="11">
        <v>9</v>
      </c>
      <c r="E49" s="11">
        <v>0</v>
      </c>
      <c r="F49" s="11">
        <f>INVENTARIO[[#This Row],[COMPRAS]]-INVENTARIO[[#This Row],[VENTAS]]</f>
        <v>9</v>
      </c>
      <c r="G49" s="12"/>
      <c r="H49" s="6">
        <v>2000</v>
      </c>
      <c r="I49" s="6">
        <f>INVENTARIO[[#This Row],[PRECIO DE VENTA]]-INVENTARIO[[#This Row],[COSTO UNITARIO]]</f>
        <v>2000</v>
      </c>
      <c r="J49" s="6">
        <f>INVENTARIO[[#This Row],[COSTO UNITARIO]]*INVENTARIO[[#This Row],[STOCK]]</f>
        <v>0</v>
      </c>
      <c r="K49" s="6">
        <f>+INVENTARIO[[#This Row],[VENTAS]]*INVENTARIO[[#This Row],[UTILIDAD POR PRODUCTO]]</f>
        <v>0</v>
      </c>
    </row>
    <row r="50" spans="1:11" s="11" customFormat="1" x14ac:dyDescent="0.25">
      <c r="A50" s="11" t="s">
        <v>69</v>
      </c>
      <c r="B50" s="11" t="str">
        <f>IFERROR(VLOOKUP(INVENTARIO[[#This Row],[CODIGO]],BASEDEDATOS[],2,FALSE),"NO EXISTE")</f>
        <v>LIMPIA PISOS SPUM COLOR AZUL</v>
      </c>
      <c r="C50" s="11" t="str">
        <f>IFERROR(VLOOKUP(INVENTARIO[[#This Row],[CODIGO]],BASEDEDATOS[],3,FALSE),"NO EXISTE")</f>
        <v>SUPERFICIE</v>
      </c>
      <c r="D50" s="11">
        <v>9</v>
      </c>
      <c r="E50" s="11">
        <v>0</v>
      </c>
      <c r="F50" s="11">
        <f>INVENTARIO[[#This Row],[COMPRAS]]-INVENTARIO[[#This Row],[VENTAS]]</f>
        <v>9</v>
      </c>
      <c r="G50" s="12"/>
      <c r="H50" s="6">
        <v>2000</v>
      </c>
      <c r="I50" s="6">
        <f>INVENTARIO[[#This Row],[PRECIO DE VENTA]]-INVENTARIO[[#This Row],[COSTO UNITARIO]]</f>
        <v>2000</v>
      </c>
      <c r="J50" s="6">
        <f>INVENTARIO[[#This Row],[COSTO UNITARIO]]*INVENTARIO[[#This Row],[STOCK]]</f>
        <v>0</v>
      </c>
      <c r="K50" s="6">
        <f>+INVENTARIO[[#This Row],[VENTAS]]*INVENTARIO[[#This Row],[UTILIDAD POR PRODUCTO]]</f>
        <v>0</v>
      </c>
    </row>
    <row r="51" spans="1:11" s="11" customFormat="1" x14ac:dyDescent="0.25">
      <c r="A51" s="11" t="s">
        <v>70</v>
      </c>
      <c r="B51" s="11" t="str">
        <f>IFERROR(VLOOKUP(INVENTARIO[[#This Row],[CODIGO]],BASEDEDATOS[],2,FALSE),"NO EXISTE")</f>
        <v>LIMPIA PISOS BRILLEX  AMARILLO</v>
      </c>
      <c r="C51" s="11" t="str">
        <f>IFERROR(VLOOKUP(INVENTARIO[[#This Row],[CODIGO]],BASEDEDATOS[],3,FALSE),"NO EXISTE")</f>
        <v>SUPERFICIE</v>
      </c>
      <c r="D51" s="11">
        <v>12</v>
      </c>
      <c r="E51" s="11">
        <v>2</v>
      </c>
      <c r="F51" s="11">
        <f>INVENTARIO[[#This Row],[COMPRAS]]-INVENTARIO[[#This Row],[VENTAS]]</f>
        <v>10</v>
      </c>
      <c r="G51" s="12">
        <v>698</v>
      </c>
      <c r="H51" s="6">
        <v>1000</v>
      </c>
      <c r="I51" s="6">
        <f>INVENTARIO[[#This Row],[PRECIO DE VENTA]]-INVENTARIO[[#This Row],[COSTO UNITARIO]]</f>
        <v>302</v>
      </c>
      <c r="J51" s="6">
        <f>INVENTARIO[[#This Row],[COSTO UNITARIO]]*INVENTARIO[[#This Row],[STOCK]]</f>
        <v>6980</v>
      </c>
      <c r="K51" s="6">
        <f>+INVENTARIO[[#This Row],[VENTAS]]*INVENTARIO[[#This Row],[UTILIDAD POR PRODUCTO]]</f>
        <v>604</v>
      </c>
    </row>
    <row r="52" spans="1:11" s="11" customFormat="1" x14ac:dyDescent="0.25">
      <c r="A52" s="11" t="s">
        <v>71</v>
      </c>
      <c r="B52" s="11" t="str">
        <f>IFERROR(VLOOKUP(INVENTARIO[[#This Row],[CODIGO]],BASEDEDATOS[],2,FALSE),"NO EXISTE")</f>
        <v>LIMPIA PISOS AROMAX AZUL</v>
      </c>
      <c r="C52" s="11" t="str">
        <f>IFERROR(VLOOKUP(INVENTARIO[[#This Row],[CODIGO]],BASEDEDATOS[],3,FALSE),"NO EXISTE")</f>
        <v>SUPERFICIE</v>
      </c>
      <c r="D52" s="11">
        <v>12</v>
      </c>
      <c r="E52" s="11">
        <v>12</v>
      </c>
      <c r="F52" s="11">
        <f>INVENTARIO[[#This Row],[COMPRAS]]-INVENTARIO[[#This Row],[VENTAS]]</f>
        <v>0</v>
      </c>
      <c r="G52" s="6">
        <v>382</v>
      </c>
      <c r="H52" s="6">
        <v>1000</v>
      </c>
      <c r="I52" s="6">
        <f>INVENTARIO[[#This Row],[PRECIO DE VENTA]]-INVENTARIO[[#This Row],[COSTO UNITARIO]]</f>
        <v>618</v>
      </c>
      <c r="J52" s="6">
        <f>INVENTARIO[[#This Row],[COSTO UNITARIO]]*INVENTARIO[[#This Row],[STOCK]]</f>
        <v>0</v>
      </c>
      <c r="K52" s="6">
        <f>+INVENTARIO[[#This Row],[VENTAS]]*INVENTARIO[[#This Row],[UTILIDAD POR PRODUCTO]]</f>
        <v>7416</v>
      </c>
    </row>
    <row r="53" spans="1:11" s="11" customFormat="1" x14ac:dyDescent="0.25">
      <c r="A53" s="11" t="s">
        <v>72</v>
      </c>
      <c r="B53" s="11" t="str">
        <f>IFERROR(VLOOKUP(INVENTARIO[[#This Row],[CODIGO]],BASEDEDATOS[],2,FALSE),"NO EXISTE")</f>
        <v>LIMPIA PISOS AROMAX ROSADO</v>
      </c>
      <c r="C53" s="11" t="str">
        <f>IFERROR(VLOOKUP(INVENTARIO[[#This Row],[CODIGO]],BASEDEDATOS[],3,FALSE),"NO EXISTE")</f>
        <v>SUPERFICIE</v>
      </c>
      <c r="D53" s="11">
        <v>12</v>
      </c>
      <c r="E53" s="11">
        <v>12</v>
      </c>
      <c r="F53" s="11">
        <f>INVENTARIO[[#This Row],[COMPRAS]]-INVENTARIO[[#This Row],[VENTAS]]</f>
        <v>0</v>
      </c>
      <c r="G53" s="6">
        <v>382</v>
      </c>
      <c r="H53" s="6">
        <v>1000</v>
      </c>
      <c r="I53" s="6">
        <f>INVENTARIO[[#This Row],[PRECIO DE VENTA]]-INVENTARIO[[#This Row],[COSTO UNITARIO]]</f>
        <v>618</v>
      </c>
      <c r="J53" s="6">
        <f>INVENTARIO[[#This Row],[COSTO UNITARIO]]*INVENTARIO[[#This Row],[STOCK]]</f>
        <v>0</v>
      </c>
      <c r="K53" s="6">
        <f>+INVENTARIO[[#This Row],[VENTAS]]*INVENTARIO[[#This Row],[UTILIDAD POR PRODUCTO]]</f>
        <v>7416</v>
      </c>
    </row>
    <row r="54" spans="1:11" s="11" customFormat="1" x14ac:dyDescent="0.25">
      <c r="A54" s="11" t="s">
        <v>73</v>
      </c>
      <c r="B54" s="11" t="str">
        <f>IFERROR(VLOOKUP(INVENTARIO[[#This Row],[CODIGO]],BASEDEDATOS[],2,FALSE),"NO EXISTE")</f>
        <v>LIMPIA PISOS AROMAX MORADO</v>
      </c>
      <c r="C54" s="11" t="str">
        <f>IFERROR(VLOOKUP(INVENTARIO[[#This Row],[CODIGO]],BASEDEDATOS[],3,FALSE),"NO EXISTE")</f>
        <v>SUPERFICIE</v>
      </c>
      <c r="D54" s="11">
        <v>132</v>
      </c>
      <c r="E54" s="11">
        <v>8</v>
      </c>
      <c r="F54" s="11">
        <f>INVENTARIO[[#This Row],[COMPRAS]]-INVENTARIO[[#This Row],[VENTAS]]</f>
        <v>124</v>
      </c>
      <c r="G54" s="6">
        <v>382</v>
      </c>
      <c r="H54" s="6">
        <v>1000</v>
      </c>
      <c r="I54" s="6">
        <f>INVENTARIO[[#This Row],[PRECIO DE VENTA]]-INVENTARIO[[#This Row],[COSTO UNITARIO]]</f>
        <v>618</v>
      </c>
      <c r="J54" s="6">
        <f>INVENTARIO[[#This Row],[COSTO UNITARIO]]*INVENTARIO[[#This Row],[STOCK]]</f>
        <v>47368</v>
      </c>
      <c r="K54" s="6">
        <f>+INVENTARIO[[#This Row],[VENTAS]]*INVENTARIO[[#This Row],[UTILIDAD POR PRODUCTO]]</f>
        <v>4944</v>
      </c>
    </row>
    <row r="55" spans="1:11" s="11" customFormat="1" x14ac:dyDescent="0.25">
      <c r="A55" s="11" t="s">
        <v>74</v>
      </c>
      <c r="B55" s="11" t="str">
        <f>IFERROR(VLOOKUP(INVENTARIO[[#This Row],[CODIGO]],BASEDEDATOS[],2,FALSE),"NO EXISTE")</f>
        <v>LIMPIA PISOS POETT ROSADO</v>
      </c>
      <c r="C55" s="11" t="str">
        <f>IFERROR(VLOOKUP(INVENTARIO[[#This Row],[CODIGO]],BASEDEDATOS[],3,FALSE),"NO EXISTE")</f>
        <v>SUPERFICIE</v>
      </c>
      <c r="D55" s="13">
        <v>12</v>
      </c>
      <c r="E55" s="11">
        <v>11</v>
      </c>
      <c r="F55" s="14">
        <f>INVENTARIO[[#This Row],[COMPRAS]]-INVENTARIO[[#This Row],[VENTAS]]</f>
        <v>1</v>
      </c>
      <c r="G55" s="12">
        <v>1010</v>
      </c>
      <c r="H55" s="6">
        <v>1600</v>
      </c>
      <c r="I55" s="6">
        <f>INVENTARIO[[#This Row],[PRECIO DE VENTA]]-INVENTARIO[[#This Row],[COSTO UNITARIO]]</f>
        <v>590</v>
      </c>
      <c r="J55" s="6">
        <f>INVENTARIO[[#This Row],[COSTO UNITARIO]]*INVENTARIO[[#This Row],[STOCK]]</f>
        <v>1010</v>
      </c>
      <c r="K55" s="6">
        <f>+INVENTARIO[[#This Row],[VENTAS]]*INVENTARIO[[#This Row],[UTILIDAD POR PRODUCTO]]</f>
        <v>6490</v>
      </c>
    </row>
    <row r="56" spans="1:11" s="11" customFormat="1" x14ac:dyDescent="0.25">
      <c r="A56" s="11" t="s">
        <v>75</v>
      </c>
      <c r="B56" s="11" t="str">
        <f>IFERROR(VLOOKUP(INVENTARIO[[#This Row],[CODIGO]],BASEDEDATOS[],2,FALSE),"NO EXISTE")</f>
        <v>LIMPIA PISOS POETT MORADO OSCURO</v>
      </c>
      <c r="C56" s="11" t="str">
        <f>IFERROR(VLOOKUP(INVENTARIO[[#This Row],[CODIGO]],BASEDEDATOS[],3,FALSE),"NO EXISTE")</f>
        <v>SUPERFICIE</v>
      </c>
      <c r="D56" s="11">
        <v>6</v>
      </c>
      <c r="E56" s="11">
        <v>4</v>
      </c>
      <c r="F56" s="11">
        <f>INVENTARIO[[#This Row],[COMPRAS]]-INVENTARIO[[#This Row],[VENTAS]]</f>
        <v>2</v>
      </c>
      <c r="G56" s="12">
        <v>1010</v>
      </c>
      <c r="H56" s="6">
        <v>1600</v>
      </c>
      <c r="I56" s="6">
        <f>INVENTARIO[[#This Row],[PRECIO DE VENTA]]-INVENTARIO[[#This Row],[COSTO UNITARIO]]</f>
        <v>590</v>
      </c>
      <c r="J56" s="6">
        <f>INVENTARIO[[#This Row],[COSTO UNITARIO]]*INVENTARIO[[#This Row],[STOCK]]</f>
        <v>2020</v>
      </c>
      <c r="K56" s="6">
        <f>+INVENTARIO[[#This Row],[VENTAS]]*INVENTARIO[[#This Row],[UTILIDAD POR PRODUCTO]]</f>
        <v>2360</v>
      </c>
    </row>
    <row r="57" spans="1:11" s="11" customFormat="1" x14ac:dyDescent="0.25">
      <c r="A57" s="11" t="s">
        <v>85</v>
      </c>
      <c r="B57" s="11" t="str">
        <f>IFERROR(VLOOKUP(INVENTARIO[[#This Row],[CODIGO]],BASEDEDATOS[],2,FALSE),"NO EXISTE")</f>
        <v>ESCOBILLON</v>
      </c>
      <c r="C57" s="11" t="str">
        <f>IFERROR(VLOOKUP(INVENTARIO[[#This Row],[CODIGO]],BASEDEDATOS[],3,FALSE),"NO EXISTE")</f>
        <v>SUPERFICIE</v>
      </c>
      <c r="D57" s="11">
        <v>36</v>
      </c>
      <c r="E57" s="11">
        <v>2</v>
      </c>
      <c r="F57" s="11">
        <f>INVENTARIO[[#This Row],[COMPRAS]]-INVENTARIO[[#This Row],[VENTAS]]</f>
        <v>34</v>
      </c>
      <c r="G57" s="12">
        <v>781</v>
      </c>
      <c r="H57" s="6">
        <v>1200</v>
      </c>
      <c r="I57" s="6">
        <f>INVENTARIO[[#This Row],[PRECIO DE VENTA]]-INVENTARIO[[#This Row],[COSTO UNITARIO]]</f>
        <v>419</v>
      </c>
      <c r="J57" s="6">
        <f>INVENTARIO[[#This Row],[COSTO UNITARIO]]*INVENTARIO[[#This Row],[STOCK]]</f>
        <v>26554</v>
      </c>
      <c r="K57" s="6">
        <f>+INVENTARIO[[#This Row],[VENTAS]]*INVENTARIO[[#This Row],[UTILIDAD POR PRODUCTO]]</f>
        <v>838</v>
      </c>
    </row>
    <row r="58" spans="1:11" s="11" customFormat="1" x14ac:dyDescent="0.25">
      <c r="A58" s="11" t="s">
        <v>86</v>
      </c>
      <c r="B58" s="11" t="str">
        <f>IFERROR(VLOOKUP(INVENTARIO[[#This Row],[CODIGO]],BASEDEDATOS[],2,FALSE),"NO EXISTE")</f>
        <v>LIMPIA PISOS POETT MORADO CLARO</v>
      </c>
      <c r="C58" s="11" t="str">
        <f>IFERROR(VLOOKUP(INVENTARIO[[#This Row],[CODIGO]],BASEDEDATOS[],3,FALSE),"NO EXISTE")</f>
        <v>SUPERFICIE</v>
      </c>
      <c r="D58" s="11">
        <v>3</v>
      </c>
      <c r="E58" s="11" cm="1">
        <f t="array" ref="E58">SUM(SUMIF(VENTAS[CODIGO],INVENTARIO!A57:A60,VENTAS[CANTIDAD]))</f>
        <v>0</v>
      </c>
      <c r="F58" s="11">
        <f>INVENTARIO[[#This Row],[COMPRAS]]-INVENTARIO[[#This Row],[VENTAS]]</f>
        <v>3</v>
      </c>
      <c r="G58" s="12">
        <v>1010</v>
      </c>
      <c r="H58" s="6">
        <v>1600</v>
      </c>
      <c r="I58" s="6">
        <f>INVENTARIO[[#This Row],[PRECIO DE VENTA]]-INVENTARIO[[#This Row],[COSTO UNITARIO]]</f>
        <v>590</v>
      </c>
      <c r="J58" s="6">
        <f>INVENTARIO[[#This Row],[COSTO UNITARIO]]*INVENTARIO[[#This Row],[STOCK]]</f>
        <v>3030</v>
      </c>
      <c r="K58" s="6">
        <f>+INVENTARIO[[#This Row],[VENTAS]]*INVENTARIO[[#This Row],[UTILIDAD POR PRODUCTO]]</f>
        <v>0</v>
      </c>
    </row>
    <row r="59" spans="1:11" s="11" customFormat="1" x14ac:dyDescent="0.25">
      <c r="A59" s="11" t="s">
        <v>87</v>
      </c>
      <c r="B59" s="11" t="str">
        <f>IFERROR(VLOOKUP(INVENTARIO[[#This Row],[CODIGO]],BASEDEDATOS[],2,FALSE),"NO EXISTE")</f>
        <v>LIMPIA PISOS POETT AZUL</v>
      </c>
      <c r="C59" s="11" t="str">
        <f>IFERROR(VLOOKUP(INVENTARIO[[#This Row],[CODIGO]],BASEDEDATOS[],3,FALSE),"NO EXISTE")</f>
        <v>SUPERFICIE</v>
      </c>
      <c r="D59" s="11">
        <v>3</v>
      </c>
      <c r="E59" s="11" cm="1">
        <f t="array" ref="E59">SUM(SUMIF(VENTAS[CODIGO],INVENTARIO!A58:A61,VENTAS[CANTIDAD]))</f>
        <v>0</v>
      </c>
      <c r="F59" s="11">
        <f>INVENTARIO[[#This Row],[COMPRAS]]-INVENTARIO[[#This Row],[VENTAS]]</f>
        <v>3</v>
      </c>
      <c r="G59" s="12">
        <v>1010</v>
      </c>
      <c r="H59" s="6">
        <v>1600</v>
      </c>
      <c r="I59" s="6">
        <f>INVENTARIO[[#This Row],[PRECIO DE VENTA]]-INVENTARIO[[#This Row],[COSTO UNITARIO]]</f>
        <v>590</v>
      </c>
      <c r="J59" s="6">
        <f>INVENTARIO[[#This Row],[COSTO UNITARIO]]*INVENTARIO[[#This Row],[STOCK]]</f>
        <v>3030</v>
      </c>
      <c r="K59" s="6">
        <f>+INVENTARIO[[#This Row],[VENTAS]]*INVENTARIO[[#This Row],[UTILIDAD POR PRODUCTO]]</f>
        <v>0</v>
      </c>
    </row>
    <row r="60" spans="1:11" s="11" customFormat="1" x14ac:dyDescent="0.25">
      <c r="A60" s="11" t="s">
        <v>88</v>
      </c>
      <c r="B60" s="11" t="str">
        <f>IFERROR(VLOOKUP(INVENTARIO[[#This Row],[CODIGO]],BASEDEDATOS[],2,FALSE),"NO EXISTE")</f>
        <v>CERA DE 1 LITRO</v>
      </c>
      <c r="C60" s="11" t="str">
        <f>IFERROR(VLOOKUP(INVENTARIO[[#This Row],[CODIGO]],BASEDEDATOS[],3,FALSE),"NO EXISTE")</f>
        <v>SUPERFICIE</v>
      </c>
      <c r="D60" s="11">
        <v>12</v>
      </c>
      <c r="E60" s="11" cm="1">
        <f t="array" ref="E60">SUM(SUMIF(VENTAS[CODIGO],INVENTARIO!A59:A62,VENTAS[CANTIDAD]))</f>
        <v>0</v>
      </c>
      <c r="F60" s="14">
        <f>INVENTARIO[[#This Row],[COMPRAS]]-INVENTARIO[[#This Row],[VENTAS]]</f>
        <v>12</v>
      </c>
      <c r="G60" s="6">
        <v>749</v>
      </c>
      <c r="H60" s="6">
        <v>1400</v>
      </c>
      <c r="I60" s="6">
        <f>INVENTARIO[[#This Row],[PRECIO DE VENTA]]-INVENTARIO[[#This Row],[COSTO UNITARIO]]</f>
        <v>651</v>
      </c>
      <c r="J60" s="6">
        <f>INVENTARIO[[#This Row],[COSTO UNITARIO]]*INVENTARIO[[#This Row],[STOCK]]</f>
        <v>8988</v>
      </c>
      <c r="K60" s="6">
        <f>+INVENTARIO[[#This Row],[VENTAS]]*INVENTARIO[[#This Row],[UTILIDAD POR PRODUCTO]]</f>
        <v>0</v>
      </c>
    </row>
    <row r="61" spans="1:11" s="11" customFormat="1" x14ac:dyDescent="0.25">
      <c r="A61" s="11" t="s">
        <v>89</v>
      </c>
      <c r="B61" s="11" t="str">
        <f>IFERROR(VLOOKUP(INVENTARIO[[#This Row],[CODIGO]],BASEDEDATOS[],2,FALSE),"NO EXISTE")</f>
        <v>CERA DE 2 LITROS</v>
      </c>
      <c r="C61" s="11" t="str">
        <f>IFERROR(VLOOKUP(INVENTARIO[[#This Row],[CODIGO]],BASEDEDATOS[],3,FALSE),"NO EXISTE")</f>
        <v>SUPERFICIE</v>
      </c>
      <c r="D61" s="11">
        <v>9</v>
      </c>
      <c r="E61" s="11" cm="1">
        <f t="array" ref="E61">SUM(SUMIF(VENTAS[CODIGO],INVENTARIO!A60:A63,VENTAS[CANTIDAD]))</f>
        <v>0</v>
      </c>
      <c r="F61" s="14">
        <f>INVENTARIO[[#This Row],[COMPRAS]]-INVENTARIO[[#This Row],[VENTAS]]</f>
        <v>9</v>
      </c>
      <c r="G61" s="6">
        <v>1299</v>
      </c>
      <c r="H61" s="6">
        <v>2300</v>
      </c>
      <c r="I61" s="6">
        <f>INVENTARIO[[#This Row],[PRECIO DE VENTA]]-INVENTARIO[[#This Row],[COSTO UNITARIO]]</f>
        <v>1001</v>
      </c>
      <c r="J61" s="6">
        <f>INVENTARIO[[#This Row],[COSTO UNITARIO]]*INVENTARIO[[#This Row],[STOCK]]</f>
        <v>11691</v>
      </c>
      <c r="K61" s="6">
        <f>+INVENTARIO[[#This Row],[VENTAS]]*INVENTARIO[[#This Row],[UTILIDAD POR PRODUCTO]]</f>
        <v>0</v>
      </c>
    </row>
    <row r="62" spans="1:11" x14ac:dyDescent="0.25">
      <c r="A62" t="s">
        <v>105</v>
      </c>
      <c r="B62" t="str">
        <f>IFERROR(VLOOKUP(INVENTARIO[[#This Row],[CODIGO]],BASEDEDATOS[],2,FALSE),"NO EXISTE")</f>
        <v>PASTILLAS DE CLORO CHICAS PARA BAÑO</v>
      </c>
      <c r="C62" t="str">
        <f>IFERROR(VLOOKUP(INVENTARIO[[#This Row],[CODIGO]],BASEDEDATOS[],3,FALSE),"NO EXISTE")</f>
        <v>SUPERFICIE</v>
      </c>
      <c r="D62">
        <v>50</v>
      </c>
      <c r="E62">
        <v>15</v>
      </c>
      <c r="F62">
        <f>INVENTARIO[[#This Row],[COMPRAS]]-INVENTARIO[[#This Row],[VENTAS]]</f>
        <v>35</v>
      </c>
      <c r="G62" s="5">
        <v>70</v>
      </c>
      <c r="H62" s="5">
        <v>1000</v>
      </c>
      <c r="I62" s="5">
        <f>INVENTARIO[[#This Row],[PRECIO DE VENTA]]-INVENTARIO[[#This Row],[COSTO UNITARIO]]</f>
        <v>930</v>
      </c>
      <c r="J62" s="5">
        <f>INVENTARIO[[#This Row],[COSTO UNITARIO]]*INVENTARIO[[#This Row],[STOCK]]</f>
        <v>2450</v>
      </c>
      <c r="K62" s="5">
        <f>+INVENTARIO[[#This Row],[VENTAS]]*INVENTARIO[[#This Row],[UTILIDAD POR PRODUCTO]]</f>
        <v>13950</v>
      </c>
    </row>
    <row r="63" spans="1:11" s="11" customFormat="1" x14ac:dyDescent="0.25">
      <c r="A63" s="11" t="s">
        <v>124</v>
      </c>
      <c r="B63" s="11" t="str">
        <f>IFERROR(VLOOKUP(INVENTARIO[[#This Row],[CODIGO]],BASEDEDATOS[],2,FALSE),"NO EXISTE")</f>
        <v>TOALLITAS DESINFECTANTE IGENIX</v>
      </c>
      <c r="C63" s="11" t="str">
        <f>IFERROR(VLOOKUP(INVENTARIO[[#This Row],[CODIGO]],BASEDEDATOS[],3,FALSE),"NO EXISTE")</f>
        <v>SUPERFICIE</v>
      </c>
      <c r="D63" s="13">
        <v>12</v>
      </c>
      <c r="E63" s="11">
        <v>3</v>
      </c>
      <c r="F63" s="11">
        <f>INVENTARIO[[#This Row],[COMPRAS]]-INVENTARIO[[#This Row],[VENTAS]]</f>
        <v>9</v>
      </c>
      <c r="G63" s="12">
        <v>0</v>
      </c>
      <c r="H63" s="6">
        <v>2500</v>
      </c>
      <c r="I63" s="6">
        <f>INVENTARIO[[#This Row],[PRECIO DE VENTA]]-INVENTARIO[[#This Row],[COSTO UNITARIO]]</f>
        <v>2500</v>
      </c>
      <c r="J63" s="6">
        <f>INVENTARIO[[#This Row],[COSTO UNITARIO]]*INVENTARIO[[#This Row],[STOCK]]</f>
        <v>0</v>
      </c>
      <c r="K63" s="6">
        <f>+INVENTARIO[[#This Row],[VENTAS]]*INVENTARIO[[#This Row],[UTILIDAD POR PRODUCTO]]</f>
        <v>7500</v>
      </c>
    </row>
    <row r="64" spans="1:11" x14ac:dyDescent="0.25">
      <c r="A64" t="s">
        <v>126</v>
      </c>
      <c r="B64" t="str">
        <f>IFERROR(VLOOKUP(INVENTARIO[[#This Row],[CODIGO]],BASEDEDATOS[],2,FALSE),"NO EXISTE")</f>
        <v>DESODRANTE AMBIENTAL AHORRITO</v>
      </c>
      <c r="C64" t="str">
        <f>IFERROR(VLOOKUP(INVENTARIO[[#This Row],[CODIGO]],BASEDEDATOS[],3,FALSE),"NO EXISTE")</f>
        <v>AMBIENTADORES</v>
      </c>
      <c r="D64">
        <v>0</v>
      </c>
      <c r="E64" cm="1">
        <f t="array" ref="E64">SUM(SUMIF(VENTAS[CODIGO],INVENTARIO!A63:A66,VENTAS[CANTIDAD]))</f>
        <v>0</v>
      </c>
      <c r="F64">
        <f>INVENTARIO[[#This Row],[COMPRAS]]-INVENTARIO[[#This Row],[VENTAS]]</f>
        <v>0</v>
      </c>
      <c r="I64" s="5">
        <f>INVENTARIO[[#This Row],[PRECIO DE VENTA]]-INVENTARIO[[#This Row],[COSTO UNITARIO]]</f>
        <v>0</v>
      </c>
      <c r="J64" s="5">
        <f>INVENTARIO[[#This Row],[COSTO UNITARIO]]*INVENTARIO[[#This Row],[STOCK]]</f>
        <v>0</v>
      </c>
      <c r="K64" s="5">
        <f>+INVENTARIO[[#This Row],[VENTAS]]*INVENTARIO[[#This Row],[UTILIDAD POR PRODUCTO]]</f>
        <v>0</v>
      </c>
    </row>
    <row r="65" spans="1:11" x14ac:dyDescent="0.25">
      <c r="A65" t="s">
        <v>128</v>
      </c>
      <c r="B65" t="str">
        <f>IFERROR(VLOOKUP(INVENTARIO[[#This Row],[CODIGO]],BASEDEDATOS[],2,FALSE),"NO EXISTE")</f>
        <v>DESODRANTE AMBIENTAL AROM LAVANDA</v>
      </c>
      <c r="C65" t="str">
        <f>IFERROR(VLOOKUP(INVENTARIO[[#This Row],[CODIGO]],BASEDEDATOS[],3,FALSE),"NO EXISTE")</f>
        <v>AMBIENTADORES</v>
      </c>
      <c r="D65" cm="1">
        <f t="array" ref="D65">SUMPRODUCT(SUMIF(COMPRAS[CODIGO],INVENTARIO!A64:A66,COMPRAS[CANTIDAD]))</f>
        <v>0</v>
      </c>
      <c r="E65" cm="1">
        <f t="array" ref="E65">SUM(SUMIF(VENTAS[CODIGO],INVENTARIO!A64:A67,VENTAS[CANTIDAD]))</f>
        <v>0</v>
      </c>
      <c r="F65">
        <f>INVENTARIO[[#This Row],[COMPRAS]]-INVENTARIO[[#This Row],[VENTAS]]</f>
        <v>0</v>
      </c>
      <c r="I65" s="5">
        <f>INVENTARIO[[#This Row],[PRECIO DE VENTA]]-INVENTARIO[[#This Row],[COSTO UNITARIO]]</f>
        <v>0</v>
      </c>
      <c r="J65" s="5">
        <f>INVENTARIO[[#This Row],[COSTO UNITARIO]]*INVENTARIO[[#This Row],[STOCK]]</f>
        <v>0</v>
      </c>
      <c r="K65" s="5">
        <f>+INVENTARIO[[#This Row],[VENTAS]]*INVENTARIO[[#This Row],[UTILIDAD POR PRODUCTO]]</f>
        <v>0</v>
      </c>
    </row>
    <row r="66" spans="1:11" s="11" customFormat="1" x14ac:dyDescent="0.25">
      <c r="A66" s="11" t="s">
        <v>129</v>
      </c>
      <c r="B66" s="11" t="str">
        <f>IFERROR(VLOOKUP(INVENTARIO[[#This Row],[CODIGO]],BASEDEDATOS[],2,FALSE),"NO EXISTE")</f>
        <v>DESODRANTE AMBIENTAL AROM LIMON</v>
      </c>
      <c r="C66" s="11" t="str">
        <f>IFERROR(VLOOKUP(INVENTARIO[[#This Row],[CODIGO]],BASEDEDATOS[],3,FALSE),"NO EXISTE")</f>
        <v>AMBIENTADORES</v>
      </c>
      <c r="D66" s="11">
        <v>12</v>
      </c>
      <c r="E66" s="11">
        <v>0</v>
      </c>
      <c r="F66" s="11">
        <f>INVENTARIO[[#This Row],[COMPRAS]]-INVENTARIO[[#This Row],[VENTAS]]</f>
        <v>12</v>
      </c>
      <c r="G66" s="6">
        <v>890</v>
      </c>
      <c r="H66" s="6">
        <v>1300</v>
      </c>
      <c r="I66" s="6">
        <f>INVENTARIO[[#This Row],[PRECIO DE VENTA]]-INVENTARIO[[#This Row],[COSTO UNITARIO]]</f>
        <v>410</v>
      </c>
      <c r="J66" s="6">
        <f>INVENTARIO[[#This Row],[COSTO UNITARIO]]*INVENTARIO[[#This Row],[STOCK]]</f>
        <v>10680</v>
      </c>
      <c r="K66" s="6">
        <f>+INVENTARIO[[#This Row],[VENTAS]]*INVENTARIO[[#This Row],[UTILIDAD POR PRODUCTO]]</f>
        <v>0</v>
      </c>
    </row>
    <row r="67" spans="1:11" s="11" customFormat="1" x14ac:dyDescent="0.25">
      <c r="A67" s="11" t="s">
        <v>131</v>
      </c>
      <c r="B67" s="11" t="str">
        <f>IFERROR(VLOOKUP(INVENTARIO[[#This Row],[CODIGO]],BASEDEDATOS[],2,FALSE),"NO EXISTE")</f>
        <v>DESODRANTE AMBIENTAL POETT ROSADO OSCURO</v>
      </c>
      <c r="C67" s="11" t="str">
        <f>IFERROR(VLOOKUP(INVENTARIO[[#This Row],[CODIGO]],BASEDEDATOS[],3,FALSE),"NO EXISTE")</f>
        <v>AMBIENTADORES</v>
      </c>
      <c r="D67" s="13">
        <v>4</v>
      </c>
      <c r="E67" s="11">
        <v>3</v>
      </c>
      <c r="F67" s="11">
        <f>INVENTARIO[[#This Row],[COMPRAS]]-INVENTARIO[[#This Row],[VENTAS]]</f>
        <v>1</v>
      </c>
      <c r="G67" s="6"/>
      <c r="H67" s="6">
        <v>2000</v>
      </c>
      <c r="I67" s="6">
        <f>INVENTARIO[[#This Row],[PRECIO DE VENTA]]-INVENTARIO[[#This Row],[COSTO UNITARIO]]</f>
        <v>2000</v>
      </c>
      <c r="J67" s="6">
        <f>INVENTARIO[[#This Row],[COSTO UNITARIO]]*INVENTARIO[[#This Row],[STOCK]]</f>
        <v>0</v>
      </c>
      <c r="K67" s="6">
        <f>+INVENTARIO[[#This Row],[VENTAS]]*INVENTARIO[[#This Row],[UTILIDAD POR PRODUCTO]]</f>
        <v>6000</v>
      </c>
    </row>
    <row r="68" spans="1:11" x14ac:dyDescent="0.25">
      <c r="A68" s="11" t="s">
        <v>133</v>
      </c>
      <c r="B68" s="11" t="str">
        <f>IFERROR(VLOOKUP(INVENTARIO[[#This Row],[CODIGO]],BASEDEDATOS[],2,FALSE),"NO EXISTE")</f>
        <v>DESODRANTE AMBIENTAL POETT MORADO</v>
      </c>
      <c r="C68" s="11" t="str">
        <f>IFERROR(VLOOKUP(INVENTARIO[[#This Row],[CODIGO]],BASEDEDATOS[],3,FALSE),"NO EXISTE")</f>
        <v>AMBIENTADORES</v>
      </c>
      <c r="D68" s="11">
        <v>12</v>
      </c>
      <c r="E68" s="11">
        <v>7</v>
      </c>
      <c r="F68" s="11">
        <f>INVENTARIO[[#This Row],[COMPRAS]]-INVENTARIO[[#This Row],[VENTAS]]</f>
        <v>5</v>
      </c>
      <c r="G68" s="12"/>
      <c r="H68" s="6">
        <v>2000</v>
      </c>
      <c r="I68" s="6">
        <f>INVENTARIO[[#This Row],[PRECIO DE VENTA]]-INVENTARIO[[#This Row],[COSTO UNITARIO]]</f>
        <v>2000</v>
      </c>
      <c r="J68" s="6">
        <f>INVENTARIO[[#This Row],[COSTO UNITARIO]]*INVENTARIO[[#This Row],[STOCK]]</f>
        <v>0</v>
      </c>
      <c r="K68" s="5">
        <f>+INVENTARIO[[#This Row],[VENTAS]]*INVENTARIO[[#This Row],[UTILIDAD POR PRODUCTO]]</f>
        <v>14000</v>
      </c>
    </row>
    <row r="69" spans="1:11" s="11" customFormat="1" x14ac:dyDescent="0.25">
      <c r="A69" s="11" t="s">
        <v>135</v>
      </c>
      <c r="B69" s="11" t="str">
        <f>IFERROR(VLOOKUP(INVENTARIO[[#This Row],[CODIGO]],BASEDEDATOS[],2,FALSE),"NO EXISTE")</f>
        <v>DESODRANTE EN BARRA DE HOMBRE (NIVEA)</v>
      </c>
      <c r="C69" s="11" t="str">
        <f>IFERROR(VLOOKUP(INVENTARIO[[#This Row],[CODIGO]],BASEDEDATOS[],3,FALSE),"NO EXISTE")</f>
        <v>HIGIENE PERSONAL</v>
      </c>
      <c r="D69" s="13">
        <v>15</v>
      </c>
      <c r="E69" s="11">
        <v>2</v>
      </c>
      <c r="F69" s="11">
        <f>INVENTARIO[[#This Row],[COMPRAS]]-INVENTARIO[[#This Row],[VENTAS]]</f>
        <v>13</v>
      </c>
      <c r="G69" s="12"/>
      <c r="H69" s="6">
        <v>2300</v>
      </c>
      <c r="I69" s="6">
        <f>INVENTARIO[[#This Row],[PRECIO DE VENTA]]-INVENTARIO[[#This Row],[COSTO UNITARIO]]</f>
        <v>2300</v>
      </c>
      <c r="J69" s="6">
        <f>INVENTARIO[[#This Row],[COSTO UNITARIO]]*INVENTARIO[[#This Row],[STOCK]]</f>
        <v>0</v>
      </c>
      <c r="K69" s="6">
        <f>+INVENTARIO[[#This Row],[VENTAS]]*INVENTARIO[[#This Row],[UTILIDAD POR PRODUCTO]]</f>
        <v>4600</v>
      </c>
    </row>
    <row r="70" spans="1:11" s="11" customFormat="1" x14ac:dyDescent="0.25">
      <c r="A70" t="s">
        <v>137</v>
      </c>
      <c r="B70" s="11" t="str">
        <f>IFERROR(VLOOKUP(INVENTARIO[[#This Row],[CODIGO]],BASEDEDATOS[],2,FALSE),"NO EXISTE")</f>
        <v>DESODRANTE EN SPRIE DE MUJER (DOVE)</v>
      </c>
      <c r="C70" s="11" t="str">
        <f>IFERROR(VLOOKUP(INVENTARIO[[#This Row],[CODIGO]],BASEDEDATOS[],3,FALSE),"NO EXISTE")</f>
        <v>HIGIENE PERSONAL</v>
      </c>
      <c r="D70" s="11">
        <v>6</v>
      </c>
      <c r="E70" s="11">
        <v>4</v>
      </c>
      <c r="F70" s="11">
        <f>INVENTARIO[[#This Row],[COMPRAS]]-INVENTARIO[[#This Row],[VENTAS]]</f>
        <v>2</v>
      </c>
      <c r="G70" s="12"/>
      <c r="H70" s="6">
        <v>2300</v>
      </c>
      <c r="I70" s="6">
        <f>INVENTARIO[[#This Row],[PRECIO DE VENTA]]-INVENTARIO[[#This Row],[COSTO UNITARIO]]</f>
        <v>2300</v>
      </c>
      <c r="J70" s="6">
        <f>INVENTARIO[[#This Row],[COSTO UNITARIO]]*INVENTARIO[[#This Row],[STOCK]]</f>
        <v>0</v>
      </c>
      <c r="K70" s="6">
        <f>+INVENTARIO[[#This Row],[VENTAS]]*INVENTARIO[[#This Row],[UTILIDAD POR PRODUCTO]]</f>
        <v>9200</v>
      </c>
    </row>
    <row r="71" spans="1:11" s="11" customFormat="1" x14ac:dyDescent="0.25">
      <c r="A71" s="11" t="s">
        <v>139</v>
      </c>
      <c r="B71" s="11" t="str">
        <f>IFERROR(VLOOKUP(INVENTARIO[[#This Row],[CODIGO]],BASEDEDATOS[],2,FALSE),"NO EXISTE")</f>
        <v>TOALLITAS HUMEDAS</v>
      </c>
      <c r="C71" s="11" t="str">
        <f>IFERROR(VLOOKUP(INVENTARIO[[#This Row],[CODIGO]],BASEDEDATOS[],3,FALSE),"NO EXISTE")</f>
        <v>HIGIENE PERSONAL</v>
      </c>
      <c r="D71" s="13">
        <v>40</v>
      </c>
      <c r="E71" s="11">
        <v>22</v>
      </c>
      <c r="F71" s="11">
        <f>INVENTARIO[[#This Row],[COMPRAS]]-INVENTARIO[[#This Row],[VENTAS]]</f>
        <v>18</v>
      </c>
      <c r="G71" s="6">
        <v>550</v>
      </c>
      <c r="H71" s="6">
        <v>1000</v>
      </c>
      <c r="I71" s="6">
        <f>INVENTARIO[[#This Row],[PRECIO DE VENTA]]-INVENTARIO[[#This Row],[COSTO UNITARIO]]</f>
        <v>450</v>
      </c>
      <c r="J71" s="6">
        <f>INVENTARIO[[#This Row],[COSTO UNITARIO]]*INVENTARIO[[#This Row],[STOCK]]</f>
        <v>9900</v>
      </c>
      <c r="K71" s="6">
        <f>+INVENTARIO[[#This Row],[VENTAS]]*INVENTARIO[[#This Row],[UTILIDAD POR PRODUCTO]]</f>
        <v>9900</v>
      </c>
    </row>
    <row r="72" spans="1:11" x14ac:dyDescent="0.25">
      <c r="A72" t="s">
        <v>140</v>
      </c>
      <c r="B72" s="11" t="str">
        <f>IFERROR(VLOOKUP(INVENTARIO[[#This Row],[CODIGO]],BASEDEDATOS[],2,FALSE),"NO EXISTE")</f>
        <v>TOALLITAS HIGIENICAS (14 UNID)</v>
      </c>
      <c r="C72" s="11" t="str">
        <f>IFERROR(VLOOKUP(INVENTARIO[[#This Row],[CODIGO]],BASEDEDATOS[],3,FALSE),"NO EXISTE")</f>
        <v>HIGIENE PERSONAL</v>
      </c>
      <c r="D72" s="11">
        <v>6</v>
      </c>
      <c r="E72" s="11" cm="1">
        <f t="array" ref="E72">SUM(SUMIF(VENTAS[CODIGO],INVENTARIO!A71:A74,VENTAS[CANTIDAD]))</f>
        <v>0</v>
      </c>
      <c r="F72" s="11">
        <f>INVENTARIO[[#This Row],[COMPRAS]]-INVENTARIO[[#This Row],[VENTAS]]</f>
        <v>6</v>
      </c>
      <c r="G72" s="6"/>
      <c r="H72" s="6"/>
      <c r="I72" s="6">
        <f>INVENTARIO[[#This Row],[PRECIO DE VENTA]]-INVENTARIO[[#This Row],[COSTO UNITARIO]]</f>
        <v>0</v>
      </c>
      <c r="J72" s="6">
        <f>INVENTARIO[[#This Row],[COSTO UNITARIO]]*INVENTARIO[[#This Row],[STOCK]]</f>
        <v>0</v>
      </c>
      <c r="K72" s="5">
        <f>+INVENTARIO[[#This Row],[VENTAS]]*INVENTARIO[[#This Row],[UTILIDAD POR PRODUCTO]]</f>
        <v>0</v>
      </c>
    </row>
    <row r="73" spans="1:11" s="11" customFormat="1" x14ac:dyDescent="0.25">
      <c r="A73" s="11" t="s">
        <v>141</v>
      </c>
      <c r="B73" s="11" t="str">
        <f>IFERROR(VLOOKUP(INVENTARIO[[#This Row],[CODIGO]],BASEDEDATOS[],2,FALSE),"NO EXISTE")</f>
        <v>PAÑUELOS DESECHABLES</v>
      </c>
      <c r="C73" s="11" t="str">
        <f>IFERROR(VLOOKUP(INVENTARIO[[#This Row],[CODIGO]],BASEDEDATOS[],3,FALSE),"NO EXISTE")</f>
        <v>HIGIENE PERSONAL</v>
      </c>
      <c r="D73" s="11">
        <v>36</v>
      </c>
      <c r="E73" s="11">
        <v>7</v>
      </c>
      <c r="F73" s="11">
        <f>INVENTARIO[[#This Row],[COMPRAS]]-INVENTARIO[[#This Row],[VENTAS]]</f>
        <v>29</v>
      </c>
      <c r="G73" s="6"/>
      <c r="H73" s="6"/>
      <c r="I73" s="6">
        <f>INVENTARIO[[#This Row],[PRECIO DE VENTA]]-INVENTARIO[[#This Row],[COSTO UNITARIO]]</f>
        <v>0</v>
      </c>
      <c r="J73" s="6">
        <f>INVENTARIO[[#This Row],[COSTO UNITARIO]]*INVENTARIO[[#This Row],[STOCK]]</f>
        <v>0</v>
      </c>
      <c r="K73" s="6">
        <f>+INVENTARIO[[#This Row],[VENTAS]]*INVENTARIO[[#This Row],[UTILIDAD POR PRODUCTO]]</f>
        <v>0</v>
      </c>
    </row>
    <row r="74" spans="1:11" s="11" customFormat="1" x14ac:dyDescent="0.25">
      <c r="A74" t="s">
        <v>143</v>
      </c>
      <c r="B74" s="11" t="str">
        <f>IFERROR(VLOOKUP(INVENTARIO[[#This Row],[CODIGO]],BASEDEDATOS[],2,FALSE),"NO EXISTE")</f>
        <v>JABON EN BARRA (WINEX)</v>
      </c>
      <c r="C74" s="11" t="str">
        <f>IFERROR(VLOOKUP(INVENTARIO[[#This Row],[CODIGO]],BASEDEDATOS[],3,FALSE),"NO EXISTE")</f>
        <v>HIGIENE PERSONAL</v>
      </c>
      <c r="D74" s="11">
        <v>24</v>
      </c>
      <c r="E74" s="11">
        <v>0</v>
      </c>
      <c r="F74" s="11">
        <f>INVENTARIO[[#This Row],[COMPRAS]]-INVENTARIO[[#This Row],[VENTAS]]</f>
        <v>24</v>
      </c>
      <c r="G74" s="12"/>
      <c r="H74" s="6">
        <v>1500</v>
      </c>
      <c r="I74" s="6">
        <f>INVENTARIO[[#This Row],[PRECIO DE VENTA]]-INVENTARIO[[#This Row],[COSTO UNITARIO]]</f>
        <v>1500</v>
      </c>
      <c r="J74" s="6">
        <f>INVENTARIO[[#This Row],[COSTO UNITARIO]]*INVENTARIO[[#This Row],[STOCK]]</f>
        <v>0</v>
      </c>
      <c r="K74" s="6">
        <f>+INVENTARIO[[#This Row],[VENTAS]]*INVENTARIO[[#This Row],[UTILIDAD POR PRODUCTO]]</f>
        <v>0</v>
      </c>
    </row>
    <row r="75" spans="1:11" s="11" customFormat="1" x14ac:dyDescent="0.25">
      <c r="A75" s="11" t="s">
        <v>144</v>
      </c>
      <c r="B75" s="11" t="str">
        <f>IFERROR(VLOOKUP(INVENTARIO[[#This Row],[CODIGO]],BASEDEDATOS[],2,FALSE),"NO EXISTE")</f>
        <v>JABON LIQUIDO COLOR NARANJO</v>
      </c>
      <c r="C75" s="11" t="str">
        <f>IFERROR(VLOOKUP(INVENTARIO[[#This Row],[CODIGO]],BASEDEDATOS[],3,FALSE),"NO EXISTE")</f>
        <v>HIGIENE PERSONAL</v>
      </c>
      <c r="D75" s="11">
        <v>12</v>
      </c>
      <c r="E75" s="11" cm="1">
        <f t="array" ref="E75">SUM(SUMIF(VENTAS[CODIGO],INVENTARIO!A74:A77,VENTAS[CANTIDAD]))</f>
        <v>0</v>
      </c>
      <c r="F75" s="11">
        <f>INVENTARIO[[#This Row],[COMPRAS]]-INVENTARIO[[#This Row],[VENTAS]]</f>
        <v>12</v>
      </c>
      <c r="G75" s="12">
        <v>990</v>
      </c>
      <c r="H75" s="6">
        <v>1400</v>
      </c>
      <c r="I75" s="6">
        <f>INVENTARIO[[#This Row],[PRECIO DE VENTA]]-INVENTARIO[[#This Row],[COSTO UNITARIO]]</f>
        <v>410</v>
      </c>
      <c r="J75" s="6">
        <f>INVENTARIO[[#This Row],[COSTO UNITARIO]]*INVENTARIO[[#This Row],[STOCK]]</f>
        <v>11880</v>
      </c>
      <c r="K75" s="6">
        <f>+INVENTARIO[[#This Row],[VENTAS]]*INVENTARIO[[#This Row],[UTILIDAD POR PRODUCTO]]</f>
        <v>0</v>
      </c>
    </row>
    <row r="76" spans="1:11" s="11" customFormat="1" x14ac:dyDescent="0.25">
      <c r="A76" s="11" t="s">
        <v>146</v>
      </c>
      <c r="B76" s="11" t="str">
        <f>IFERROR(VLOOKUP(INVENTARIO[[#This Row],[CODIGO]],BASEDEDATOS[],2,FALSE),"NO EXISTE")</f>
        <v>JABON LIQUIDO COLOR ROSADO</v>
      </c>
      <c r="C76" s="11" t="str">
        <f>IFERROR(VLOOKUP(INVENTARIO[[#This Row],[CODIGO]],BASEDEDATOS[],3,FALSE),"NO EXISTE")</f>
        <v>HIGIENE PERSONAL</v>
      </c>
      <c r="D76" s="11">
        <v>12</v>
      </c>
      <c r="E76" s="11">
        <v>4</v>
      </c>
      <c r="F76" s="11">
        <f>INVENTARIO[[#This Row],[COMPRAS]]-INVENTARIO[[#This Row],[VENTAS]]</f>
        <v>8</v>
      </c>
      <c r="G76" s="12">
        <v>990</v>
      </c>
      <c r="H76" s="6">
        <v>1400</v>
      </c>
      <c r="I76" s="6">
        <f>INVENTARIO[[#This Row],[PRECIO DE VENTA]]-INVENTARIO[[#This Row],[COSTO UNITARIO]]</f>
        <v>410</v>
      </c>
      <c r="J76" s="6">
        <f>INVENTARIO[[#This Row],[COSTO UNITARIO]]*INVENTARIO[[#This Row],[STOCK]]</f>
        <v>7920</v>
      </c>
      <c r="K76" s="6">
        <f>+INVENTARIO[[#This Row],[VENTAS]]*INVENTARIO[[#This Row],[UTILIDAD POR PRODUCTO]]</f>
        <v>1640</v>
      </c>
    </row>
    <row r="77" spans="1:11" s="11" customFormat="1" x14ac:dyDescent="0.25">
      <c r="A77" s="11" t="s">
        <v>147</v>
      </c>
      <c r="B77" s="11" t="str">
        <f>IFERROR(VLOOKUP(INVENTARIO[[#This Row],[CODIGO]],BASEDEDATOS[],2,FALSE),"NO EXISTE")</f>
        <v>JABON LIQUIDO COLOR CELESTE</v>
      </c>
      <c r="C77" s="11" t="str">
        <f>IFERROR(VLOOKUP(INVENTARIO[[#This Row],[CODIGO]],BASEDEDATOS[],3,FALSE),"NO EXISTE")</f>
        <v>HIGIENE PERSONAL</v>
      </c>
      <c r="D77" s="11">
        <v>12</v>
      </c>
      <c r="E77" s="11">
        <v>6</v>
      </c>
      <c r="F77" s="11">
        <f>INVENTARIO[[#This Row],[COMPRAS]]-INVENTARIO[[#This Row],[VENTAS]]</f>
        <v>6</v>
      </c>
      <c r="G77" s="12">
        <v>990</v>
      </c>
      <c r="H77" s="6">
        <v>1400</v>
      </c>
      <c r="I77" s="6">
        <f>INVENTARIO[[#This Row],[PRECIO DE VENTA]]-INVENTARIO[[#This Row],[COSTO UNITARIO]]</f>
        <v>410</v>
      </c>
      <c r="J77" s="6">
        <f>INVENTARIO[[#This Row],[COSTO UNITARIO]]*INVENTARIO[[#This Row],[STOCK]]</f>
        <v>5940</v>
      </c>
      <c r="K77" s="6">
        <f>+INVENTARIO[[#This Row],[VENTAS]]*INVENTARIO[[#This Row],[UTILIDAD POR PRODUCTO]]</f>
        <v>2460</v>
      </c>
    </row>
    <row r="78" spans="1:11" x14ac:dyDescent="0.25">
      <c r="A78" t="s">
        <v>157</v>
      </c>
      <c r="B78" t="str">
        <f>IFERROR(VLOOKUP(INVENTARIO[[#This Row],[CODIGO]],BASEDEDATOS[],2,FALSE),"NO EXISTE")</f>
        <v>JABON LIQUIDO DOVE</v>
      </c>
      <c r="C78" t="str">
        <f>IFERROR(VLOOKUP(INVENTARIO[[#This Row],[CODIGO]],BASEDEDATOS[],3,FALSE),"NO EXISTE")</f>
        <v>HIGIENE PERSONAL</v>
      </c>
      <c r="D78" cm="1">
        <f t="array" ref="D78">SUMPRODUCT(SUMIF(COMPRAS[CODIGO],INVENTARIO!A77:A79,COMPRAS[CANTIDAD]))</f>
        <v>0</v>
      </c>
      <c r="E78" cm="1">
        <f t="array" ref="E78">SUM(SUMIF(VENTAS[CODIGO],INVENTARIO!A77:A80,VENTAS[CANTIDAD]))</f>
        <v>0</v>
      </c>
      <c r="F78">
        <f>INVENTARIO[[#This Row],[COMPRAS]]-INVENTARIO[[#This Row],[VENTAS]]</f>
        <v>0</v>
      </c>
      <c r="I78" s="5">
        <f>INVENTARIO[[#This Row],[PRECIO DE VENTA]]-INVENTARIO[[#This Row],[COSTO UNITARIO]]</f>
        <v>0</v>
      </c>
      <c r="J78" s="5">
        <f>INVENTARIO[[#This Row],[COSTO UNITARIO]]*INVENTARIO[[#This Row],[STOCK]]</f>
        <v>0</v>
      </c>
      <c r="K78" s="5">
        <f>+INVENTARIO[[#This Row],[VENTAS]]*INVENTARIO[[#This Row],[UTILIDAD POR PRODUCTO]]</f>
        <v>0</v>
      </c>
    </row>
    <row r="79" spans="1:11" s="11" customFormat="1" x14ac:dyDescent="0.25">
      <c r="A79" s="11" t="s">
        <v>158</v>
      </c>
      <c r="B79" s="11" t="str">
        <f>IFERROR(VLOOKUP(INVENTARIO[[#This Row],[CODIGO]],BASEDEDATOS[],2,FALSE),"NO EXISTE")</f>
        <v>JABON EN BARRA DOVE</v>
      </c>
      <c r="C79" s="11" t="str">
        <f>IFERROR(VLOOKUP(INVENTARIO[[#This Row],[CODIGO]],BASEDEDATOS[],3,FALSE),"NO EXISTE")</f>
        <v>HIGIENE PERSONAL</v>
      </c>
      <c r="D79" s="11">
        <v>6</v>
      </c>
      <c r="E79" s="11">
        <v>5</v>
      </c>
      <c r="F79" s="11">
        <f>INVENTARIO[[#This Row],[COMPRAS]]-INVENTARIO[[#This Row],[VENTAS]]</f>
        <v>1</v>
      </c>
      <c r="G79" s="12">
        <v>890</v>
      </c>
      <c r="H79" s="6">
        <v>1100</v>
      </c>
      <c r="I79" s="6">
        <f>INVENTARIO[[#This Row],[PRECIO DE VENTA]]-INVENTARIO[[#This Row],[COSTO UNITARIO]]</f>
        <v>210</v>
      </c>
      <c r="J79" s="6">
        <f>INVENTARIO[[#This Row],[COSTO UNITARIO]]*INVENTARIO[[#This Row],[STOCK]]</f>
        <v>890</v>
      </c>
      <c r="K79" s="6">
        <f>+INVENTARIO[[#This Row],[VENTAS]]*INVENTARIO[[#This Row],[UTILIDAD POR PRODUCTO]]</f>
        <v>1050</v>
      </c>
    </row>
    <row r="80" spans="1:11" x14ac:dyDescent="0.25">
      <c r="A80" t="s">
        <v>177</v>
      </c>
      <c r="B80" t="str">
        <f>IFERROR(VLOOKUP(INVENTARIO[[#This Row],[CODIGO]],BASEDEDATOS[],2,FALSE),"NO EXISTE")</f>
        <v>PAPEL HIGIENICO SCOTT 50 MTS</v>
      </c>
      <c r="C80" t="str">
        <f>IFERROR(VLOOKUP(INVENTARIO[[#This Row],[CODIGO]],BASEDEDATOS[],3,FALSE),"NO EXISTE")</f>
        <v>HIGIENE PERSONAL</v>
      </c>
      <c r="D80" cm="1">
        <f t="array" ref="D80">SUMPRODUCT(SUMIF(COMPRAS[CODIGO],INVENTARIO!A79:A81,COMPRAS[CANTIDAD]))</f>
        <v>0</v>
      </c>
      <c r="E80" cm="1">
        <f t="array" ref="E80">SUM(SUMIF(VENTAS[CODIGO],INVENTARIO!A79:A82,VENTAS[CANTIDAD]))</f>
        <v>0</v>
      </c>
      <c r="F80">
        <f>INVENTARIO[[#This Row],[COMPRAS]]-INVENTARIO[[#This Row],[VENTAS]]</f>
        <v>0</v>
      </c>
      <c r="I80" s="5">
        <f>INVENTARIO[[#This Row],[PRECIO DE VENTA]]-INVENTARIO[[#This Row],[COSTO UNITARIO]]</f>
        <v>0</v>
      </c>
      <c r="J80" s="5">
        <f>INVENTARIO[[#This Row],[COSTO UNITARIO]]*INVENTARIO[[#This Row],[STOCK]]</f>
        <v>0</v>
      </c>
      <c r="K80" s="5">
        <f>+INVENTARIO[[#This Row],[VENTAS]]*INVENTARIO[[#This Row],[UTILIDAD POR PRODUCTO]]</f>
        <v>0</v>
      </c>
    </row>
    <row r="81" spans="1:11" x14ac:dyDescent="0.25">
      <c r="A81" t="s">
        <v>178</v>
      </c>
      <c r="B81" t="str">
        <f>IFERROR(VLOOKUP(INVENTARIO[[#This Row],[CODIGO]],BASEDEDATOS[],2,FALSE),"NO EXISTE")</f>
        <v>PAPEL HIGIENICO ECONOMICO 23 MTS</v>
      </c>
      <c r="C81" t="str">
        <f>IFERROR(VLOOKUP(INVENTARIO[[#This Row],[CODIGO]],BASEDEDATOS[],3,FALSE),"NO EXISTE")</f>
        <v>HIGIENE PERSONAL</v>
      </c>
      <c r="D81" cm="1">
        <f t="array" ref="D81">SUMPRODUCT(SUMIF(COMPRAS[CODIGO],INVENTARIO!A80:A82,COMPRAS[CANTIDAD]))</f>
        <v>0</v>
      </c>
      <c r="E81" cm="1">
        <f t="array" ref="E81">SUM(SUMIF(VENTAS[CODIGO],INVENTARIO!A80:A83,VENTAS[CANTIDAD]))</f>
        <v>0</v>
      </c>
      <c r="F81">
        <f>INVENTARIO[[#This Row],[COMPRAS]]-INVENTARIO[[#This Row],[VENTAS]]</f>
        <v>0</v>
      </c>
      <c r="I81" s="5">
        <f>INVENTARIO[[#This Row],[PRECIO DE VENTA]]-INVENTARIO[[#This Row],[COSTO UNITARIO]]</f>
        <v>0</v>
      </c>
      <c r="J81" s="5">
        <f>INVENTARIO[[#This Row],[COSTO UNITARIO]]*INVENTARIO[[#This Row],[STOCK]]</f>
        <v>0</v>
      </c>
      <c r="K81" s="5">
        <f>+INVENTARIO[[#This Row],[VENTAS]]*INVENTARIO[[#This Row],[UTILIDAD POR PRODUCTO]]</f>
        <v>0</v>
      </c>
    </row>
    <row r="82" spans="1:11" s="11" customFormat="1" x14ac:dyDescent="0.25">
      <c r="A82" s="11" t="s">
        <v>179</v>
      </c>
      <c r="B82" s="11" t="str">
        <f>IFERROR(VLOOKUP(INVENTARIO[[#This Row],[CODIGO]],BASEDEDATOS[],2,FALSE),"NO EXISTE")</f>
        <v>PAPEL HIGIENICO NOBLE 23 MTS</v>
      </c>
      <c r="C82" s="11" t="str">
        <f>IFERROR(VLOOKUP(INVENTARIO[[#This Row],[CODIGO]],BASEDEDATOS[],3,FALSE),"NO EXISTE")</f>
        <v>HIGIENE PERSONAL</v>
      </c>
      <c r="D82" s="11">
        <f>24*7</f>
        <v>168</v>
      </c>
      <c r="E82" s="11">
        <v>24</v>
      </c>
      <c r="F82" s="11">
        <f>INVENTARIO[[#This Row],[COMPRAS]]-INVENTARIO[[#This Row],[VENTAS]]</f>
        <v>144</v>
      </c>
      <c r="G82" s="12"/>
      <c r="H82" s="6">
        <v>1400</v>
      </c>
      <c r="I82" s="6">
        <f>INVENTARIO[[#This Row],[PRECIO DE VENTA]]-INVENTARIO[[#This Row],[COSTO UNITARIO]]</f>
        <v>1400</v>
      </c>
      <c r="J82" s="6">
        <f>INVENTARIO[[#This Row],[COSTO UNITARIO]]*INVENTARIO[[#This Row],[STOCK]]</f>
        <v>0</v>
      </c>
      <c r="K82" s="6">
        <f>+INVENTARIO[[#This Row],[VENTAS]]*INVENTARIO[[#This Row],[UTILIDAD POR PRODUCTO]]</f>
        <v>33600</v>
      </c>
    </row>
    <row r="83" spans="1:11" s="11" customFormat="1" x14ac:dyDescent="0.25">
      <c r="A83" s="11" t="s">
        <v>180</v>
      </c>
      <c r="B83" s="11" t="str">
        <f>IFERROR(VLOOKUP(INVENTARIO[[#This Row],[CODIGO]],BASEDEDATOS[],2,FALSE),"NO EXISTE")</f>
        <v>SERVILLETAS SUAN</v>
      </c>
      <c r="C83" s="11" t="str">
        <f>IFERROR(VLOOKUP(INVENTARIO[[#This Row],[CODIGO]],BASEDEDATOS[],3,FALSE),"NO EXISTE")</f>
        <v>HIGIENE PERSONAL</v>
      </c>
      <c r="D83" s="11">
        <v>12</v>
      </c>
      <c r="E83" s="11" cm="1">
        <f t="array" ref="E83">SUM(SUMIF(VENTAS[CODIGO],INVENTARIO!A82:A85,VENTAS[CANTIDAD]))</f>
        <v>0</v>
      </c>
      <c r="F83" s="11">
        <f>INVENTARIO[[#This Row],[COMPRAS]]-INVENTARIO[[#This Row],[VENTAS]]</f>
        <v>12</v>
      </c>
      <c r="G83" s="12"/>
      <c r="H83" s="6">
        <v>1500</v>
      </c>
      <c r="I83" s="6">
        <f>INVENTARIO[[#This Row],[PRECIO DE VENTA]]-INVENTARIO[[#This Row],[COSTO UNITARIO]]</f>
        <v>1500</v>
      </c>
      <c r="J83" s="6">
        <f>INVENTARIO[[#This Row],[COSTO UNITARIO]]*INVENTARIO[[#This Row],[STOCK]]</f>
        <v>0</v>
      </c>
      <c r="K83" s="6">
        <f>+INVENTARIO[[#This Row],[VENTAS]]*INVENTARIO[[#This Row],[UTILIDAD POR PRODUCTO]]</f>
        <v>0</v>
      </c>
    </row>
    <row r="84" spans="1:11" s="11" customFormat="1" x14ac:dyDescent="0.25">
      <c r="A84" s="11" t="s">
        <v>181</v>
      </c>
      <c r="B84" s="11" t="str">
        <f>IFERROR(VLOOKUP(INVENTARIO[[#This Row],[CODIGO]],BASEDEDATOS[],2,FALSE),"NO EXISTE")</f>
        <v>TOALLA NOVA ABOLENGO</v>
      </c>
      <c r="C84" s="11" t="str">
        <f>IFERROR(VLOOKUP(INVENTARIO[[#This Row],[CODIGO]],BASEDEDATOS[],3,FALSE),"NO EXISTE")</f>
        <v>HIGIENE PERSONAL</v>
      </c>
      <c r="D84" s="11">
        <v>24</v>
      </c>
      <c r="E84" s="11" cm="1">
        <f t="array" ref="E84">SUM(SUMIF(VENTAS[CODIGO],INVENTARIO!A83:A86,VENTAS[CANTIDAD]))</f>
        <v>0</v>
      </c>
      <c r="F84" s="11">
        <f>INVENTARIO[[#This Row],[COMPRAS]]-INVENTARIO[[#This Row],[VENTAS]]</f>
        <v>24</v>
      </c>
      <c r="G84" s="12"/>
      <c r="H84" s="6">
        <v>1300</v>
      </c>
      <c r="I84" s="6">
        <f>INVENTARIO[[#This Row],[PRECIO DE VENTA]]-INVENTARIO[[#This Row],[COSTO UNITARIO]]</f>
        <v>1300</v>
      </c>
      <c r="J84" s="6">
        <f>INVENTARIO[[#This Row],[COSTO UNITARIO]]*INVENTARIO[[#This Row],[STOCK]]</f>
        <v>0</v>
      </c>
      <c r="K84" s="6">
        <f>+INVENTARIO[[#This Row],[VENTAS]]*INVENTARIO[[#This Row],[UTILIDAD POR PRODUCTO]]</f>
        <v>0</v>
      </c>
    </row>
    <row r="85" spans="1:11" s="11" customFormat="1" x14ac:dyDescent="0.25">
      <c r="A85" s="11" t="s">
        <v>182</v>
      </c>
      <c r="B85" s="11" t="str">
        <f>IFERROR(VLOOKUP(INVENTARIO[[#This Row],[CODIGO]],BASEDEDATOS[],2,FALSE),"NO EXISTE")</f>
        <v>TOALLA NOVA SUAN</v>
      </c>
      <c r="C85" s="11" t="str">
        <f>IFERROR(VLOOKUP(INVENTARIO[[#This Row],[CODIGO]],BASEDEDATOS[],3,FALSE),"NO EXISTE")</f>
        <v>HIGIENE PERSONAL</v>
      </c>
      <c r="D85" s="11">
        <v>24</v>
      </c>
      <c r="E85" s="11" cm="1">
        <f t="array" ref="E85">SUM(SUMIF(VENTAS[CODIGO],INVENTARIO!A84:A87,VENTAS[CANTIDAD]))</f>
        <v>0</v>
      </c>
      <c r="F85" s="11">
        <f>INVENTARIO[[#This Row],[COMPRAS]]-INVENTARIO[[#This Row],[VENTAS]]</f>
        <v>24</v>
      </c>
      <c r="G85" s="12"/>
      <c r="H85" s="6">
        <v>1500</v>
      </c>
      <c r="I85" s="6">
        <f>INVENTARIO[[#This Row],[PRECIO DE VENTA]]-INVENTARIO[[#This Row],[COSTO UNITARIO]]</f>
        <v>1500</v>
      </c>
      <c r="J85" s="6">
        <f>INVENTARIO[[#This Row],[COSTO UNITARIO]]*INVENTARIO[[#This Row],[STOCK]]</f>
        <v>0</v>
      </c>
      <c r="K85" s="6">
        <f>+INVENTARIO[[#This Row],[VENTAS]]*INVENTARIO[[#This Row],[UTILIDAD POR PRODUCTO]]</f>
        <v>0</v>
      </c>
    </row>
    <row r="86" spans="1:11" s="11" customFormat="1" x14ac:dyDescent="0.25">
      <c r="A86" t="s">
        <v>183</v>
      </c>
      <c r="B86" t="str">
        <f>IFERROR(VLOOKUP(INVENTARIO[[#This Row],[CODIGO]],BASEDEDATOS[],2,FALSE),"NO EXISTE")</f>
        <v>TOALLA NOVA</v>
      </c>
      <c r="C86" s="11" t="str">
        <f>IFERROR(VLOOKUP(INVENTARIO[[#This Row],[CODIGO]],BASEDEDATOS[],3,FALSE),"NO EXISTE")</f>
        <v>HIGIENE PERSONAL</v>
      </c>
      <c r="D86" s="11">
        <v>24</v>
      </c>
      <c r="E86" s="11" cm="1">
        <f t="array" ref="E86">SUM(SUMIF(VENTAS[CODIGO],INVENTARIO!A85:A88,VENTAS[CANTIDAD]))</f>
        <v>0</v>
      </c>
      <c r="F86" s="11">
        <f>INVENTARIO[[#This Row],[COMPRAS]]-INVENTARIO[[#This Row],[VENTAS]]</f>
        <v>24</v>
      </c>
      <c r="G86" s="12"/>
      <c r="H86" s="6">
        <v>1500</v>
      </c>
      <c r="I86" s="6">
        <f>INVENTARIO[[#This Row],[PRECIO DE VENTA]]-INVENTARIO[[#This Row],[COSTO UNITARIO]]</f>
        <v>1500</v>
      </c>
      <c r="J86" s="6">
        <f>INVENTARIO[[#This Row],[COSTO UNITARIO]]*INVENTARIO[[#This Row],[STOCK]]</f>
        <v>0</v>
      </c>
      <c r="K86" s="6">
        <f>+INVENTARIO[[#This Row],[VENTAS]]*INVENTARIO[[#This Row],[UTILIDAD POR PRODUCTO]]</f>
        <v>0</v>
      </c>
    </row>
    <row r="87" spans="1:11" s="11" customFormat="1" x14ac:dyDescent="0.25">
      <c r="A87" s="11" t="s">
        <v>184</v>
      </c>
      <c r="B87" s="11" t="str">
        <f>IFERROR(VLOOKUP(INVENTARIO[[#This Row],[CODIGO]],BASEDEDATOS[],2,FALSE),"NO EXISTE")</f>
        <v>TOALLA NOVA 70 MTS</v>
      </c>
      <c r="C87" s="11" t="str">
        <f>IFERROR(VLOOKUP(INVENTARIO[[#This Row],[CODIGO]],BASEDEDATOS[],3,FALSE),"NO EXISTE")</f>
        <v>HIGIENE PERSONAL</v>
      </c>
      <c r="D87" s="11">
        <v>16</v>
      </c>
      <c r="E87" s="11">
        <v>12</v>
      </c>
      <c r="F87" s="11">
        <f>INVENTARIO[[#This Row],[COMPRAS]]-INVENTARIO[[#This Row],[VENTAS]]</f>
        <v>4</v>
      </c>
      <c r="G87" s="6">
        <v>1749</v>
      </c>
      <c r="H87" s="6">
        <v>3000</v>
      </c>
      <c r="I87" s="6">
        <f>INVENTARIO[[#This Row],[PRECIO DE VENTA]]-INVENTARIO[[#This Row],[COSTO UNITARIO]]</f>
        <v>1251</v>
      </c>
      <c r="J87" s="6">
        <f>INVENTARIO[[#This Row],[COSTO UNITARIO]]*INVENTARIO[[#This Row],[STOCK]]</f>
        <v>6996</v>
      </c>
      <c r="K87" s="6">
        <f>+INVENTARIO[[#This Row],[VENTAS]]*INVENTARIO[[#This Row],[UTILIDAD POR PRODUCTO]]</f>
        <v>15012</v>
      </c>
    </row>
    <row r="88" spans="1:11" x14ac:dyDescent="0.25">
      <c r="A88" t="s">
        <v>185</v>
      </c>
      <c r="B88" t="str">
        <f>IFERROR(VLOOKUP(INVENTARIO[[#This Row],[CODIGO]],BASEDEDATOS[],2,FALSE),"NO EXISTE")</f>
        <v>CEPILLO DE DIENTES</v>
      </c>
      <c r="C88" t="str">
        <f>IFERROR(VLOOKUP(INVENTARIO[[#This Row],[CODIGO]],BASEDEDATOS[],3,FALSE),"NO EXISTE")</f>
        <v>HIGIENE PERSONAL</v>
      </c>
      <c r="D88" cm="1">
        <f t="array" ref="D88">SUMPRODUCT(SUMIF(COMPRAS[CODIGO],INVENTARIO!A87:A89,COMPRAS[CANTIDAD]))</f>
        <v>0</v>
      </c>
      <c r="E88" cm="1">
        <f t="array" ref="E88">SUM(SUMIF(VENTAS[CODIGO],INVENTARIO!A87:A90,VENTAS[CANTIDAD]))</f>
        <v>0</v>
      </c>
      <c r="F88">
        <f>INVENTARIO[[#This Row],[COMPRAS]]-INVENTARIO[[#This Row],[VENTAS]]</f>
        <v>0</v>
      </c>
      <c r="I88" s="5">
        <f>INVENTARIO[[#This Row],[PRECIO DE VENTA]]-INVENTARIO[[#This Row],[COSTO UNITARIO]]</f>
        <v>0</v>
      </c>
      <c r="J88" s="5">
        <f>INVENTARIO[[#This Row],[COSTO UNITARIO]]*INVENTARIO[[#This Row],[STOCK]]</f>
        <v>0</v>
      </c>
      <c r="K88" s="5">
        <f>+INVENTARIO[[#This Row],[VENTAS]]*INVENTARIO[[#This Row],[UTILIDAD POR PRODUCTO]]</f>
        <v>0</v>
      </c>
    </row>
    <row r="89" spans="1:11" x14ac:dyDescent="0.25">
      <c r="A89" t="s">
        <v>186</v>
      </c>
      <c r="B89" t="str">
        <f>IFERROR(VLOOKUP(INVENTARIO[[#This Row],[CODIGO]],BASEDEDATOS[],2,FALSE),"NO EXISTE")</f>
        <v>PASTA DE DIENTES AQUAFRESH</v>
      </c>
      <c r="C89" t="str">
        <f>IFERROR(VLOOKUP(INVENTARIO[[#This Row],[CODIGO]],BASEDEDATOS[],3,FALSE),"NO EXISTE")</f>
        <v>HIGIENE PERSONAL</v>
      </c>
      <c r="D89" cm="1">
        <f t="array" ref="D89">SUMPRODUCT(SUMIF(COMPRAS[CODIGO],INVENTARIO!A88:A90,COMPRAS[CANTIDAD]))</f>
        <v>0</v>
      </c>
      <c r="E89" cm="1">
        <f t="array" ref="E89">SUM(SUMIF(VENTAS[CODIGO],INVENTARIO!A88:A91,VENTAS[CANTIDAD]))</f>
        <v>0</v>
      </c>
      <c r="F89">
        <f>INVENTARIO[[#This Row],[COMPRAS]]-INVENTARIO[[#This Row],[VENTAS]]</f>
        <v>0</v>
      </c>
      <c r="I89" s="5">
        <f>INVENTARIO[[#This Row],[PRECIO DE VENTA]]-INVENTARIO[[#This Row],[COSTO UNITARIO]]</f>
        <v>0</v>
      </c>
      <c r="J89" s="5">
        <f>INVENTARIO[[#This Row],[COSTO UNITARIO]]*INVENTARIO[[#This Row],[STOCK]]</f>
        <v>0</v>
      </c>
      <c r="K89" s="5">
        <f>+INVENTARIO[[#This Row],[VENTAS]]*INVENTARIO[[#This Row],[UTILIDAD POR PRODUCTO]]</f>
        <v>0</v>
      </c>
    </row>
    <row r="90" spans="1:11" x14ac:dyDescent="0.25">
      <c r="A90" t="s">
        <v>187</v>
      </c>
      <c r="B90" t="str">
        <f>IFERROR(VLOOKUP(INVENTARIO[[#This Row],[CODIGO]],BASEDEDATOS[],2,FALSE),"NO EXISTE")</f>
        <v>PASTA DE DIENTES COLGATE</v>
      </c>
      <c r="C90" t="str">
        <f>IFERROR(VLOOKUP(INVENTARIO[[#This Row],[CODIGO]],BASEDEDATOS[],3,FALSE),"NO EXISTE")</f>
        <v>HIGIENE PERSONAL</v>
      </c>
      <c r="D90">
        <v>12</v>
      </c>
      <c r="E90">
        <v>12</v>
      </c>
      <c r="F90">
        <f>INVENTARIO[[#This Row],[COMPRAS]]-INVENTARIO[[#This Row],[VENTAS]]</f>
        <v>0</v>
      </c>
      <c r="I90" s="5">
        <f>INVENTARIO[[#This Row],[PRECIO DE VENTA]]-INVENTARIO[[#This Row],[COSTO UNITARIO]]</f>
        <v>0</v>
      </c>
      <c r="J90" s="5">
        <f>INVENTARIO[[#This Row],[COSTO UNITARIO]]*INVENTARIO[[#This Row],[STOCK]]</f>
        <v>0</v>
      </c>
      <c r="K90" s="5">
        <f>+INVENTARIO[[#This Row],[VENTAS]]*INVENTARIO[[#This Row],[UTILIDAD POR PRODUCTO]]</f>
        <v>0</v>
      </c>
    </row>
    <row r="91" spans="1:11" x14ac:dyDescent="0.25">
      <c r="A91" t="s">
        <v>188</v>
      </c>
      <c r="B91" t="str">
        <f>IFERROR(VLOOKUP(INVENTARIO[[#This Row],[CODIGO]],BASEDEDATOS[],2,FALSE),"NO EXISTE")</f>
        <v>PRESTO BARBA DE HOMBRE GILLETTE 3</v>
      </c>
      <c r="C91" t="str">
        <f>IFERROR(VLOOKUP(INVENTARIO[[#This Row],[CODIGO]],BASEDEDATOS[],3,FALSE),"NO EXISTE")</f>
        <v>HIGIENE PERSONAL</v>
      </c>
      <c r="D91">
        <v>12</v>
      </c>
      <c r="E91">
        <v>11</v>
      </c>
      <c r="F91">
        <f>INVENTARIO[[#This Row],[COMPRAS]]-INVENTARIO[[#This Row],[VENTAS]]</f>
        <v>1</v>
      </c>
      <c r="I91" s="5">
        <f>INVENTARIO[[#This Row],[PRECIO DE VENTA]]-INVENTARIO[[#This Row],[COSTO UNITARIO]]</f>
        <v>0</v>
      </c>
      <c r="J91" s="5">
        <f>INVENTARIO[[#This Row],[COSTO UNITARIO]]*INVENTARIO[[#This Row],[STOCK]]</f>
        <v>0</v>
      </c>
      <c r="K91" s="5">
        <f>+INVENTARIO[[#This Row],[VENTAS]]*INVENTARIO[[#This Row],[UTILIDAD POR PRODUCTO]]</f>
        <v>0</v>
      </c>
    </row>
    <row r="92" spans="1:11" s="11" customFormat="1" x14ac:dyDescent="0.25">
      <c r="A92" s="11" t="s">
        <v>189</v>
      </c>
      <c r="B92" s="11" t="str">
        <f>IFERROR(VLOOKUP(INVENTARIO[[#This Row],[CODIGO]],BASEDEDATOS[],2,FALSE),"NO EXISTE")</f>
        <v>PRESTO BARBA DE HOMBRE SCHICK</v>
      </c>
      <c r="C92" s="11" t="str">
        <f>IFERROR(VLOOKUP(INVENTARIO[[#This Row],[CODIGO]],BASEDEDATOS[],3,FALSE),"NO EXISTE")</f>
        <v>HIGIENE PERSONAL</v>
      </c>
      <c r="D92" s="11">
        <v>23</v>
      </c>
      <c r="E92" s="11" cm="1">
        <f t="array" ref="E92">SUM(SUMIF(VENTAS[CODIGO],INVENTARIO!A91:A94,VENTAS[CANTIDAD]))</f>
        <v>0</v>
      </c>
      <c r="F92" s="11">
        <f>INVENTARIO[[#This Row],[COMPRAS]]-INVENTARIO[[#This Row],[VENTAS]]</f>
        <v>23</v>
      </c>
      <c r="G92" s="6">
        <v>720</v>
      </c>
      <c r="H92" s="6">
        <v>1000</v>
      </c>
      <c r="I92" s="6">
        <f>INVENTARIO[[#This Row],[PRECIO DE VENTA]]-INVENTARIO[[#This Row],[COSTO UNITARIO]]</f>
        <v>280</v>
      </c>
      <c r="J92" s="6">
        <f>INVENTARIO[[#This Row],[COSTO UNITARIO]]*INVENTARIO[[#This Row],[STOCK]]</f>
        <v>16560</v>
      </c>
      <c r="K92" s="6">
        <f>+INVENTARIO[[#This Row],[VENTAS]]*INVENTARIO[[#This Row],[UTILIDAD POR PRODUCTO]]</f>
        <v>0</v>
      </c>
    </row>
    <row r="93" spans="1:11" x14ac:dyDescent="0.25">
      <c r="A93" t="s">
        <v>190</v>
      </c>
      <c r="B93" t="str">
        <f>IFERROR(VLOOKUP(INVENTARIO[[#This Row],[CODIGO]],BASEDEDATOS[],2,FALSE),"NO EXISTE")</f>
        <v>PRESTO BARBA DE HOMBRE WILKINSON</v>
      </c>
      <c r="C93" t="str">
        <f>IFERROR(VLOOKUP(INVENTARIO[[#This Row],[CODIGO]],BASEDEDATOS[],3,FALSE),"NO EXISTE")</f>
        <v>HIGIENE PERSONAL</v>
      </c>
      <c r="D93" cm="1">
        <f t="array" ref="D93">SUMPRODUCT(SUMIF(COMPRAS[CODIGO],INVENTARIO!A92:A94,COMPRAS[CANTIDAD]))</f>
        <v>0</v>
      </c>
      <c r="E93" cm="1">
        <f t="array" ref="E93">SUM(SUMIF(VENTAS[CODIGO],INVENTARIO!A92:A95,VENTAS[CANTIDAD]))</f>
        <v>0</v>
      </c>
      <c r="F93">
        <f>INVENTARIO[[#This Row],[COMPRAS]]-INVENTARIO[[#This Row],[VENTAS]]</f>
        <v>0</v>
      </c>
      <c r="I93" s="5">
        <f>INVENTARIO[[#This Row],[PRECIO DE VENTA]]-INVENTARIO[[#This Row],[COSTO UNITARIO]]</f>
        <v>0</v>
      </c>
      <c r="J93" s="5">
        <f>INVENTARIO[[#This Row],[COSTO UNITARIO]]*INVENTARIO[[#This Row],[STOCK]]</f>
        <v>0</v>
      </c>
      <c r="K93" s="5">
        <f>+INVENTARIO[[#This Row],[VENTAS]]*INVENTARIO[[#This Row],[UTILIDAD POR PRODUCTO]]</f>
        <v>0</v>
      </c>
    </row>
    <row r="94" spans="1:11" s="11" customFormat="1" x14ac:dyDescent="0.25">
      <c r="A94" s="11" t="s">
        <v>191</v>
      </c>
      <c r="B94" s="11" t="str">
        <f>IFERROR(VLOOKUP(INVENTARIO[[#This Row],[CODIGO]],BASEDEDATOS[],2,FALSE),"NO EXISTE")</f>
        <v>PRESTO BARBA DE MUJER SCHICK</v>
      </c>
      <c r="C94" s="11" t="str">
        <f>IFERROR(VLOOKUP(INVENTARIO[[#This Row],[CODIGO]],BASEDEDATOS[],3,FALSE),"NO EXISTE")</f>
        <v>HIGIENE PERSONAL</v>
      </c>
      <c r="D94" s="11">
        <v>22</v>
      </c>
      <c r="E94" s="11" cm="1">
        <f t="array" ref="E94">SUM(SUMIF(VENTAS[CODIGO],INVENTARIO!A93:A96,VENTAS[CANTIDAD]))</f>
        <v>0</v>
      </c>
      <c r="F94" s="11">
        <f>INVENTARIO[[#This Row],[COMPRAS]]-INVENTARIO[[#This Row],[VENTAS]]</f>
        <v>22</v>
      </c>
      <c r="G94" s="6">
        <v>759</v>
      </c>
      <c r="H94" s="6">
        <v>1000</v>
      </c>
      <c r="I94" s="6">
        <f>INVENTARIO[[#This Row],[PRECIO DE VENTA]]-INVENTARIO[[#This Row],[COSTO UNITARIO]]</f>
        <v>241</v>
      </c>
      <c r="J94" s="6">
        <f>INVENTARIO[[#This Row],[COSTO UNITARIO]]*INVENTARIO[[#This Row],[STOCK]]</f>
        <v>16698</v>
      </c>
      <c r="K94" s="6">
        <f>+INVENTARIO[[#This Row],[VENTAS]]*INVENTARIO[[#This Row],[UTILIDAD POR PRODUCTO]]</f>
        <v>0</v>
      </c>
    </row>
    <row r="95" spans="1:11" x14ac:dyDescent="0.25">
      <c r="A95" t="s">
        <v>192</v>
      </c>
      <c r="B95" t="str">
        <f>IFERROR(VLOOKUP(INVENTARIO[[#This Row],[CODIGO]],BASEDEDATOS[],2,FALSE),"NO EXISTE")</f>
        <v>PRESTO BARBA DE MUJER VENUS</v>
      </c>
      <c r="C95" t="str">
        <f>IFERROR(VLOOKUP(INVENTARIO[[#This Row],[CODIGO]],BASEDEDATOS[],3,FALSE),"NO EXISTE")</f>
        <v>HIGIENE PERSONAL</v>
      </c>
      <c r="D95" cm="1">
        <f t="array" ref="D95">SUMPRODUCT(SUMIF(COMPRAS[CODIGO],INVENTARIO!A94:A96,COMPRAS[CANTIDAD]))</f>
        <v>0</v>
      </c>
      <c r="E95" cm="1">
        <f t="array" ref="E95">SUM(SUMIF(VENTAS[CODIGO],INVENTARIO!A94:A97,VENTAS[CANTIDAD]))</f>
        <v>0</v>
      </c>
      <c r="F95">
        <f>INVENTARIO[[#This Row],[COMPRAS]]-INVENTARIO[[#This Row],[VENTAS]]</f>
        <v>0</v>
      </c>
      <c r="I95" s="5">
        <f>INVENTARIO[[#This Row],[PRECIO DE VENTA]]-INVENTARIO[[#This Row],[COSTO UNITARIO]]</f>
        <v>0</v>
      </c>
      <c r="J95" s="5">
        <f>INVENTARIO[[#This Row],[COSTO UNITARIO]]*INVENTARIO[[#This Row],[STOCK]]</f>
        <v>0</v>
      </c>
      <c r="K95" s="5">
        <f>+INVENTARIO[[#This Row],[VENTAS]]*INVENTARIO[[#This Row],[UTILIDAD POR PRODUCTO]]</f>
        <v>0</v>
      </c>
    </row>
    <row r="96" spans="1:11" s="11" customFormat="1" x14ac:dyDescent="0.25">
      <c r="A96" s="11" t="s">
        <v>193</v>
      </c>
      <c r="B96" s="11" t="str">
        <f>IFERROR(VLOOKUP(INVENTARIO[[#This Row],[CODIGO]],BASEDEDATOS[],2,FALSE),"NO EXISTE")</f>
        <v>COTONITOS</v>
      </c>
      <c r="C96" s="11" t="str">
        <f>IFERROR(VLOOKUP(INVENTARIO[[#This Row],[CODIGO]],BASEDEDATOS[],3,FALSE),"NO EXISTE")</f>
        <v>HIGIENE PERSONAL</v>
      </c>
      <c r="D96" s="11">
        <v>12</v>
      </c>
      <c r="E96" s="11">
        <v>2</v>
      </c>
      <c r="F96" s="11">
        <f>INVENTARIO[[#This Row],[COMPRAS]]-INVENTARIO[[#This Row],[VENTAS]]</f>
        <v>10</v>
      </c>
      <c r="G96" s="12">
        <v>250</v>
      </c>
      <c r="H96" s="6">
        <v>500</v>
      </c>
      <c r="I96" s="6">
        <f>INVENTARIO[[#This Row],[PRECIO DE VENTA]]-INVENTARIO[[#This Row],[COSTO UNITARIO]]</f>
        <v>250</v>
      </c>
      <c r="J96" s="6">
        <f>INVENTARIO[[#This Row],[COSTO UNITARIO]]*INVENTARIO[[#This Row],[STOCK]]</f>
        <v>2500</v>
      </c>
      <c r="K96" s="6">
        <f>+INVENTARIO[[#This Row],[VENTAS]]*INVENTARIO[[#This Row],[UTILIDAD POR PRODUCTO]]</f>
        <v>500</v>
      </c>
    </row>
    <row r="97" spans="1:11" x14ac:dyDescent="0.25">
      <c r="A97" t="s">
        <v>194</v>
      </c>
      <c r="B97" t="str">
        <f>IFERROR(VLOOKUP(INVENTARIO[[#This Row],[CODIGO]],BASEDEDATOS[],2,FALSE),"NO EXISTE")</f>
        <v>QUITAESMALTE</v>
      </c>
      <c r="C97" t="str">
        <f>IFERROR(VLOOKUP(INVENTARIO[[#This Row],[CODIGO]],BASEDEDATOS[],3,FALSE),"NO EXISTE")</f>
        <v>HIGIENE PERSONAL</v>
      </c>
      <c r="D97">
        <v>6</v>
      </c>
      <c r="E97">
        <v>2</v>
      </c>
      <c r="F97">
        <v>4</v>
      </c>
      <c r="G97" s="5">
        <v>790</v>
      </c>
      <c r="H97" s="5">
        <v>1000</v>
      </c>
      <c r="I97" s="5">
        <f>INVENTARIO[[#This Row],[PRECIO DE VENTA]]-INVENTARIO[[#This Row],[COSTO UNITARIO]]</f>
        <v>210</v>
      </c>
      <c r="J97" s="5">
        <f>INVENTARIO[[#This Row],[COSTO UNITARIO]]*INVENTARIO[[#This Row],[STOCK]]</f>
        <v>3160</v>
      </c>
      <c r="K97" s="5">
        <f>+INVENTARIO[[#This Row],[VENTAS]]*INVENTARIO[[#This Row],[UTILIDAD POR PRODUCTO]]</f>
        <v>420</v>
      </c>
    </row>
    <row r="98" spans="1:11" s="11" customFormat="1" x14ac:dyDescent="0.25">
      <c r="A98" s="11" t="s">
        <v>197</v>
      </c>
      <c r="B98" s="11" t="str">
        <f>IFERROR(VLOOKUP(INVENTARIO[[#This Row],[CODIGO]],BASEDEDATOS[],2,FALSE),"NO EXISTE")</f>
        <v>SHAMPOO VALLERINA AROMA GRANADA</v>
      </c>
      <c r="C98" s="11" t="str">
        <f>IFERROR(VLOOKUP(INVENTARIO[[#This Row],[CODIGO]],BASEDEDATOS[],3,FALSE),"NO EXISTE")</f>
        <v>HIGIENE PERSONAL</v>
      </c>
      <c r="D98" s="11">
        <v>12</v>
      </c>
      <c r="E98" s="11">
        <v>6</v>
      </c>
      <c r="F98" s="11">
        <f>INVENTARIO[[#This Row],[COMPRAS]]-INVENTARIO[[#This Row],[VENTAS]]</f>
        <v>6</v>
      </c>
      <c r="G98" s="12"/>
      <c r="H98" s="6">
        <v>1400</v>
      </c>
      <c r="I98" s="6">
        <f>INVENTARIO[[#This Row],[PRECIO DE VENTA]]-INVENTARIO[[#This Row],[COSTO UNITARIO]]</f>
        <v>1400</v>
      </c>
      <c r="J98" s="6">
        <f>INVENTARIO[[#This Row],[COSTO UNITARIO]]*INVENTARIO[[#This Row],[STOCK]]</f>
        <v>0</v>
      </c>
      <c r="K98" s="6">
        <f>+INVENTARIO[[#This Row],[VENTAS]]*INVENTARIO[[#This Row],[UTILIDAD POR PRODUCTO]]</f>
        <v>8400</v>
      </c>
    </row>
    <row r="99" spans="1:11" s="11" customFormat="1" x14ac:dyDescent="0.25">
      <c r="A99" s="11" t="s">
        <v>198</v>
      </c>
      <c r="B99" s="11" t="str">
        <f>IFERROR(VLOOKUP(INVENTARIO[[#This Row],[CODIGO]],BASEDEDATOS[],2,FALSE),"NO EXISTE")</f>
        <v>SHAMPOO VALLERINA AROMA GRANADA</v>
      </c>
      <c r="C99" s="11" t="str">
        <f>IFERROR(VLOOKUP(INVENTARIO[[#This Row],[CODIGO]],BASEDEDATOS[],3,FALSE),"NO EXISTE")</f>
        <v>HIGIENE PERSONAL</v>
      </c>
      <c r="D99" s="11">
        <v>12</v>
      </c>
      <c r="E99" s="11">
        <v>4</v>
      </c>
      <c r="F99" s="11">
        <f>INVENTARIO[[#This Row],[COMPRAS]]-INVENTARIO[[#This Row],[VENTAS]]</f>
        <v>8</v>
      </c>
      <c r="G99" s="12"/>
      <c r="H99" s="6">
        <v>1400</v>
      </c>
      <c r="I99" s="6">
        <f>INVENTARIO[[#This Row],[PRECIO DE VENTA]]-INVENTARIO[[#This Row],[COSTO UNITARIO]]</f>
        <v>1400</v>
      </c>
      <c r="J99" s="6">
        <f>INVENTARIO[[#This Row],[COSTO UNITARIO]]*INVENTARIO[[#This Row],[STOCK]]</f>
        <v>0</v>
      </c>
      <c r="K99" s="6">
        <f>+INVENTARIO[[#This Row],[VENTAS]]*INVENTARIO[[#This Row],[UTILIDAD POR PRODUCTO]]</f>
        <v>5600</v>
      </c>
    </row>
    <row r="100" spans="1:11" s="11" customFormat="1" x14ac:dyDescent="0.25">
      <c r="A100" s="11" t="s">
        <v>199</v>
      </c>
      <c r="B100" s="11" t="str">
        <f>IFERROR(VLOOKUP(INVENTARIO[[#This Row],[CODIGO]],BASEDEDATOS[],2,FALSE),"NO EXISTE")</f>
        <v>SHAMPOO DOVE</v>
      </c>
      <c r="C100" s="11" t="str">
        <f>IFERROR(VLOOKUP(INVENTARIO[[#This Row],[CODIGO]],BASEDEDATOS[],3,FALSE),"NO EXISTE")</f>
        <v>HIGIENE PERSONAL</v>
      </c>
      <c r="D100" s="11">
        <v>6</v>
      </c>
      <c r="E100" s="11">
        <v>2</v>
      </c>
      <c r="F100" s="11">
        <f>INVENTARIO[[#This Row],[COMPRAS]]-INVENTARIO[[#This Row],[VENTAS]]</f>
        <v>4</v>
      </c>
      <c r="G100" s="6">
        <v>1504</v>
      </c>
      <c r="H100" s="6">
        <v>2500</v>
      </c>
      <c r="I100" s="6">
        <f>INVENTARIO[[#This Row],[PRECIO DE VENTA]]-INVENTARIO[[#This Row],[COSTO UNITARIO]]</f>
        <v>996</v>
      </c>
      <c r="J100" s="6">
        <f>INVENTARIO[[#This Row],[COSTO UNITARIO]]*INVENTARIO[[#This Row],[STOCK]]</f>
        <v>6016</v>
      </c>
      <c r="K100" s="6">
        <f>+INVENTARIO[[#This Row],[VENTAS]]*INVENTARIO[[#This Row],[UTILIDAD POR PRODUCTO]]</f>
        <v>1992</v>
      </c>
    </row>
    <row r="101" spans="1:11" s="11" customFormat="1" x14ac:dyDescent="0.25">
      <c r="A101" s="11" t="s">
        <v>200</v>
      </c>
      <c r="B101" s="11" t="str">
        <f>IFERROR(VLOOKUP(INVENTARIO[[#This Row],[CODIGO]],BASEDEDATOS[],2,FALSE),"NO EXISTE")</f>
        <v>ACONDICIONADOR DOVE</v>
      </c>
      <c r="C101" s="11" t="str">
        <f>IFERROR(VLOOKUP(INVENTARIO[[#This Row],[CODIGO]],BASEDEDATOS[],3,FALSE),"NO EXISTE")</f>
        <v>HIGIENE PERSONAL</v>
      </c>
      <c r="D101" s="11">
        <v>6</v>
      </c>
      <c r="E101" s="11">
        <v>1</v>
      </c>
      <c r="F101" s="11">
        <f>INVENTARIO[[#This Row],[COMPRAS]]-INVENTARIO[[#This Row],[VENTAS]]</f>
        <v>5</v>
      </c>
      <c r="G101" s="6">
        <v>1504</v>
      </c>
      <c r="H101" s="6">
        <v>2500</v>
      </c>
      <c r="I101" s="6">
        <f>INVENTARIO[[#This Row],[PRECIO DE VENTA]]-INVENTARIO[[#This Row],[COSTO UNITARIO]]</f>
        <v>996</v>
      </c>
      <c r="J101" s="6">
        <f>INVENTARIO[[#This Row],[COSTO UNITARIO]]*INVENTARIO[[#This Row],[STOCK]]</f>
        <v>7520</v>
      </c>
      <c r="K101" s="6">
        <f>+INVENTARIO[[#This Row],[VENTAS]]*INVENTARIO[[#This Row],[UTILIDAD POR PRODUCTO]]</f>
        <v>996</v>
      </c>
    </row>
    <row r="102" spans="1:11" s="11" customFormat="1" x14ac:dyDescent="0.25">
      <c r="A102" s="11" t="s">
        <v>201</v>
      </c>
      <c r="B102" s="11" t="str">
        <f>IFERROR(VLOOKUP(INVENTARIO[[#This Row],[CODIGO]],BASEDEDATOS[],2,FALSE),"NO EXISTE")</f>
        <v xml:space="preserve">SHAMPOO FAMILAND </v>
      </c>
      <c r="C102" s="11" t="str">
        <f>IFERROR(VLOOKUP(INVENTARIO[[#This Row],[CODIGO]],BASEDEDATOS[],3,FALSE),"NO EXISTE")</f>
        <v>HIGIENE PERSONAL</v>
      </c>
      <c r="D102" s="11">
        <v>12</v>
      </c>
      <c r="E102" s="11">
        <v>6</v>
      </c>
      <c r="F102" s="11">
        <f>INVENTARIO[[#This Row],[COMPRAS]]-INVENTARIO[[#This Row],[VENTAS]]</f>
        <v>6</v>
      </c>
      <c r="G102" s="6">
        <v>1190</v>
      </c>
      <c r="H102" s="6">
        <v>1800</v>
      </c>
      <c r="I102" s="6">
        <f>INVENTARIO[[#This Row],[PRECIO DE VENTA]]-INVENTARIO[[#This Row],[COSTO UNITARIO]]</f>
        <v>610</v>
      </c>
      <c r="J102" s="6">
        <f>INVENTARIO[[#This Row],[COSTO UNITARIO]]*INVENTARIO[[#This Row],[STOCK]]</f>
        <v>7140</v>
      </c>
      <c r="K102" s="6">
        <f>+INVENTARIO[[#This Row],[VENTAS]]*INVENTARIO[[#This Row],[UTILIDAD POR PRODUCTO]]</f>
        <v>3660</v>
      </c>
    </row>
    <row r="103" spans="1:11" s="11" customFormat="1" x14ac:dyDescent="0.25">
      <c r="A103" s="11" t="s">
        <v>202</v>
      </c>
      <c r="B103" s="11" t="str">
        <f>IFERROR(VLOOKUP(INVENTARIO[[#This Row],[CODIGO]],BASEDEDATOS[],2,FALSE),"NO EXISTE")</f>
        <v>ACONDICIONADOR FAMILAND</v>
      </c>
      <c r="C103" s="11" t="str">
        <f>IFERROR(VLOOKUP(INVENTARIO[[#This Row],[CODIGO]],BASEDEDATOS[],3,FALSE),"NO EXISTE")</f>
        <v>HIGIENE PERSONAL</v>
      </c>
      <c r="D103" s="11">
        <v>12</v>
      </c>
      <c r="E103" s="11">
        <v>5</v>
      </c>
      <c r="F103" s="11">
        <f>INVENTARIO[[#This Row],[COMPRAS]]-INVENTARIO[[#This Row],[VENTAS]]</f>
        <v>7</v>
      </c>
      <c r="G103" s="6">
        <v>1190</v>
      </c>
      <c r="H103" s="6">
        <v>1800</v>
      </c>
      <c r="I103" s="6">
        <f>INVENTARIO[[#This Row],[PRECIO DE VENTA]]-INVENTARIO[[#This Row],[COSTO UNITARIO]]</f>
        <v>610</v>
      </c>
      <c r="J103" s="6">
        <f>INVENTARIO[[#This Row],[COSTO UNITARIO]]*INVENTARIO[[#This Row],[STOCK]]</f>
        <v>8330</v>
      </c>
      <c r="K103" s="6">
        <f>+INVENTARIO[[#This Row],[VENTAS]]*INVENTARIO[[#This Row],[UTILIDAD POR PRODUCTO]]</f>
        <v>3050</v>
      </c>
    </row>
    <row r="104" spans="1:11" s="11" customFormat="1" x14ac:dyDescent="0.25">
      <c r="A104" s="11" t="s">
        <v>204</v>
      </c>
      <c r="B104" s="11" t="str">
        <f>IFERROR(VLOOKUP(INVENTARIO[[#This Row],[CODIGO]],BASEDEDATOS[],2,FALSE),"NO EXISTE")</f>
        <v>TRAPEROS DESECHABLES  AHORRITO</v>
      </c>
      <c r="C104" s="11" t="str">
        <f>IFERROR(VLOOKUP(INVENTARIO[[#This Row],[CODIGO]],BASEDEDATOS[],3,FALSE),"NO EXISTE")</f>
        <v>ACCESORIOS DE LIMPIEZA</v>
      </c>
      <c r="D104" s="11">
        <v>12</v>
      </c>
      <c r="E104" s="11">
        <v>2</v>
      </c>
      <c r="F104" s="11">
        <f>INVENTARIO[[#This Row],[COMPRAS]]-INVENTARIO[[#This Row],[VENTAS]]</f>
        <v>10</v>
      </c>
      <c r="G104" s="6">
        <v>990</v>
      </c>
      <c r="H104" s="6">
        <v>1500</v>
      </c>
      <c r="I104" s="6">
        <f>INVENTARIO[[#This Row],[PRECIO DE VENTA]]-INVENTARIO[[#This Row],[COSTO UNITARIO]]</f>
        <v>510</v>
      </c>
      <c r="J104" s="6">
        <f>INVENTARIO[[#This Row],[COSTO UNITARIO]]*INVENTARIO[[#This Row],[STOCK]]</f>
        <v>9900</v>
      </c>
      <c r="K104" s="6">
        <f>+INVENTARIO[[#This Row],[VENTAS]]*INVENTARIO[[#This Row],[UTILIDAD POR PRODUCTO]]</f>
        <v>1020</v>
      </c>
    </row>
    <row r="105" spans="1:11" s="11" customFormat="1" x14ac:dyDescent="0.25">
      <c r="A105" s="11" t="s">
        <v>205</v>
      </c>
      <c r="B105" s="11" t="str">
        <f>IFERROR(VLOOKUP(INVENTARIO[[#This Row],[CODIGO]],BASEDEDATOS[],2,FALSE),"NO EXISTE")</f>
        <v>TRAPEROS DESECHABLES TOLL MORADO</v>
      </c>
      <c r="C105" s="11" t="str">
        <f>IFERROR(VLOOKUP(INVENTARIO[[#This Row],[CODIGO]],BASEDEDATOS[],3,FALSE),"NO EXISTE")</f>
        <v>ACCESORIOS DE LIMPIEZA</v>
      </c>
      <c r="D105" s="11">
        <v>12</v>
      </c>
      <c r="E105" s="11" cm="1">
        <f t="array" ref="E105">SUM(SUMIF(VENTAS[CODIGO],INVENTARIO!A104:A108,VENTAS[CANTIDAD]))</f>
        <v>0</v>
      </c>
      <c r="F105" s="11">
        <f>INVENTARIO[[#This Row],[COMPRAS]]-INVENTARIO[[#This Row],[VENTAS]]</f>
        <v>12</v>
      </c>
      <c r="G105" s="6">
        <v>990</v>
      </c>
      <c r="H105" s="6">
        <v>1500</v>
      </c>
      <c r="I105" s="6">
        <f>INVENTARIO[[#This Row],[PRECIO DE VENTA]]-INVENTARIO[[#This Row],[COSTO UNITARIO]]</f>
        <v>510</v>
      </c>
      <c r="J105" s="6">
        <f>INVENTARIO[[#This Row],[COSTO UNITARIO]]*INVENTARIO[[#This Row],[STOCK]]</f>
        <v>11880</v>
      </c>
      <c r="K105" s="6">
        <f>+INVENTARIO[[#This Row],[VENTAS]]*INVENTARIO[[#This Row],[UTILIDAD POR PRODUCTO]]</f>
        <v>0</v>
      </c>
    </row>
    <row r="106" spans="1:11" s="11" customFormat="1" x14ac:dyDescent="0.25">
      <c r="A106" s="11" t="s">
        <v>206</v>
      </c>
      <c r="B106" s="11" t="str">
        <f>IFERROR(VLOOKUP(INVENTARIO[[#This Row],[CODIGO]],BASEDEDATOS[],2,FALSE),"NO EXISTE")</f>
        <v>TRAPEROS DESECHABLES TOLL ROSADO</v>
      </c>
      <c r="C106" s="11" t="str">
        <f>IFERROR(VLOOKUP(INVENTARIO[[#This Row],[CODIGO]],BASEDEDATOS[],3,FALSE),"NO EXISTE")</f>
        <v>ACCESORIOS DE LIMPIEZA</v>
      </c>
      <c r="D106" s="11">
        <v>4</v>
      </c>
      <c r="E106" s="11">
        <v>1</v>
      </c>
      <c r="F106" s="11">
        <f>INVENTARIO[[#This Row],[COMPRAS]]-INVENTARIO[[#This Row],[VENTAS]]</f>
        <v>3</v>
      </c>
      <c r="G106" s="6">
        <v>990</v>
      </c>
      <c r="H106" s="6">
        <v>1500</v>
      </c>
      <c r="I106" s="6">
        <f>INVENTARIO[[#This Row],[PRECIO DE VENTA]]-INVENTARIO[[#This Row],[COSTO UNITARIO]]</f>
        <v>510</v>
      </c>
      <c r="J106" s="6">
        <f>INVENTARIO[[#This Row],[COSTO UNITARIO]]*INVENTARIO[[#This Row],[STOCK]]</f>
        <v>2970</v>
      </c>
      <c r="K106" s="6">
        <f>+INVENTARIO[[#This Row],[VENTAS]]*INVENTARIO[[#This Row],[UTILIDAD POR PRODUCTO]]</f>
        <v>510</v>
      </c>
    </row>
    <row r="107" spans="1:11" s="11" customFormat="1" x14ac:dyDescent="0.25">
      <c r="A107" s="11" t="s">
        <v>267</v>
      </c>
      <c r="B107" s="11" t="str">
        <f>IFERROR(VLOOKUP(INVENTARIO[[#This Row],[CODIGO]],BASEDEDATOS[],2,FALSE),"NO EXISTE")</f>
        <v>TRAPEROS DESECHABLES TOLL AMARILLO</v>
      </c>
      <c r="C107" s="11" t="str">
        <f>IFERROR(VLOOKUP(INVENTARIO[[#This Row],[CODIGO]],BASEDEDATOS[],3,FALSE),"NO EXISTE")</f>
        <v>ACCESORIOS DE LIMPIEZA</v>
      </c>
      <c r="D107" s="11">
        <v>4</v>
      </c>
      <c r="E107" s="11">
        <v>3</v>
      </c>
      <c r="F107" s="11">
        <f>INVENTARIO[[#This Row],[COMPRAS]]-INVENTARIO[[#This Row],[VENTAS]]</f>
        <v>1</v>
      </c>
      <c r="G107" s="6">
        <v>990</v>
      </c>
      <c r="H107" s="6">
        <v>1500</v>
      </c>
      <c r="I107" s="6">
        <f>INVENTARIO[[#This Row],[PRECIO DE VENTA]]-INVENTARIO[[#This Row],[COSTO UNITARIO]]</f>
        <v>510</v>
      </c>
      <c r="J107" s="6">
        <f>INVENTARIO[[#This Row],[COSTO UNITARIO]]*INVENTARIO[[#This Row],[STOCK]]</f>
        <v>990</v>
      </c>
      <c r="K107" s="6">
        <f>+INVENTARIO[[#This Row],[VENTAS]]*INVENTARIO[[#This Row],[UTILIDAD POR PRODUCTO]]</f>
        <v>1530</v>
      </c>
    </row>
    <row r="108" spans="1:11" x14ac:dyDescent="0.25">
      <c r="A108" t="s">
        <v>268</v>
      </c>
      <c r="B108" t="str">
        <f>IFERROR(VLOOKUP(INVENTARIO[[#This Row],[CODIGO]],BASEDEDATOS[],2,FALSE),"NO EXISTE")</f>
        <v>TRAPERO DE ALGODÓN</v>
      </c>
      <c r="C108" t="str">
        <f>IFERROR(VLOOKUP(INVENTARIO[[#This Row],[CODIGO]],BASEDEDATOS[],3,FALSE),"NO EXISTE")</f>
        <v>ACCESORIOS DE LIMPIEZA</v>
      </c>
      <c r="D108" cm="1">
        <f t="array" ref="D108">SUMPRODUCT(SUMIF(COMPRAS[CODIGO],INVENTARIO!A107:A109,COMPRAS[CANTIDAD]))</f>
        <v>0</v>
      </c>
      <c r="E108" cm="1">
        <f t="array" ref="E108">SUM(SUMIF(VENTAS[CODIGO],INVENTARIO!A107:A110,VENTAS[CANTIDAD]))</f>
        <v>0</v>
      </c>
      <c r="F108">
        <f>INVENTARIO[[#This Row],[COMPRAS]]-INVENTARIO[[#This Row],[VENTAS]]</f>
        <v>0</v>
      </c>
      <c r="I108" s="5">
        <f>INVENTARIO[[#This Row],[PRECIO DE VENTA]]-INVENTARIO[[#This Row],[COSTO UNITARIO]]</f>
        <v>0</v>
      </c>
      <c r="J108" s="5">
        <f>INVENTARIO[[#This Row],[COSTO UNITARIO]]*INVENTARIO[[#This Row],[STOCK]]</f>
        <v>0</v>
      </c>
      <c r="K108" s="5">
        <f>+INVENTARIO[[#This Row],[VENTAS]]*INVENTARIO[[#This Row],[UTILIDAD POR PRODUCTO]]</f>
        <v>0</v>
      </c>
    </row>
    <row r="109" spans="1:11" x14ac:dyDescent="0.25">
      <c r="A109" t="s">
        <v>269</v>
      </c>
      <c r="B109" t="str">
        <f>IFERROR(VLOOKUP(INVENTARIO[[#This Row],[CODIGO]],BASEDEDATOS[],2,FALSE),"NO EXISTE")</f>
        <v>PAÑOS AMARILLOS</v>
      </c>
      <c r="C109" t="str">
        <f>IFERROR(VLOOKUP(INVENTARIO[[#This Row],[CODIGO]],BASEDEDATOS[],3,FALSE),"NO EXISTE")</f>
        <v>ACCESORIOS DE LIMPIEZA</v>
      </c>
      <c r="D109" cm="1">
        <f t="array" ref="D109">SUMPRODUCT(SUMIF(COMPRAS[CODIGO],INVENTARIO!A108:A110,COMPRAS[CANTIDAD]))</f>
        <v>0</v>
      </c>
      <c r="E109" cm="1">
        <f t="array" ref="E109">SUM(SUMIF(VENTAS[CODIGO],INVENTARIO!A108:A111,VENTAS[CANTIDAD]))</f>
        <v>0</v>
      </c>
      <c r="F109">
        <f>INVENTARIO[[#This Row],[COMPRAS]]-INVENTARIO[[#This Row],[VENTAS]]</f>
        <v>0</v>
      </c>
      <c r="I109" s="5">
        <f>INVENTARIO[[#This Row],[PRECIO DE VENTA]]-INVENTARIO[[#This Row],[COSTO UNITARIO]]</f>
        <v>0</v>
      </c>
      <c r="J109" s="5">
        <f>INVENTARIO[[#This Row],[COSTO UNITARIO]]*INVENTARIO[[#This Row],[STOCK]]</f>
        <v>0</v>
      </c>
      <c r="K109" s="5">
        <f>+INVENTARIO[[#This Row],[VENTAS]]*INVENTARIO[[#This Row],[UTILIDAD POR PRODUCTO]]</f>
        <v>0</v>
      </c>
    </row>
    <row r="110" spans="1:11" x14ac:dyDescent="0.25">
      <c r="A110" t="s">
        <v>270</v>
      </c>
      <c r="B110" t="str">
        <f>IFERROR(VLOOKUP(INVENTARIO[[#This Row],[CODIGO]],BASEDEDATOS[],2,FALSE),"NO EXISTE")</f>
        <v>ESPONJAS</v>
      </c>
      <c r="C110" t="str">
        <f>IFERROR(VLOOKUP(INVENTARIO[[#This Row],[CODIGO]],BASEDEDATOS[],3,FALSE),"NO EXISTE")</f>
        <v>ACCESORIOS DE LIMPIEZA</v>
      </c>
      <c r="D110" cm="1">
        <f t="array" ref="D110">SUMPRODUCT(SUMIF(COMPRAS[CODIGO],INVENTARIO!A109:A111,COMPRAS[CANTIDAD]))</f>
        <v>0</v>
      </c>
      <c r="E110" cm="1">
        <f t="array" ref="E110">SUM(SUMIF(VENTAS[CODIGO],INVENTARIO!A109:A112,VENTAS[CANTIDAD]))</f>
        <v>0</v>
      </c>
      <c r="F110">
        <f>INVENTARIO[[#This Row],[COMPRAS]]-INVENTARIO[[#This Row],[VENTAS]]</f>
        <v>0</v>
      </c>
      <c r="I110" s="5">
        <f>INVENTARIO[[#This Row],[PRECIO DE VENTA]]-INVENTARIO[[#This Row],[COSTO UNITARIO]]</f>
        <v>0</v>
      </c>
      <c r="J110" s="5">
        <f>INVENTARIO[[#This Row],[COSTO UNITARIO]]*INVENTARIO[[#This Row],[STOCK]]</f>
        <v>0</v>
      </c>
      <c r="K110" s="5">
        <f>+INVENTARIO[[#This Row],[VENTAS]]*INVENTARIO[[#This Row],[UTILIDAD POR PRODUCTO]]</f>
        <v>0</v>
      </c>
    </row>
    <row r="111" spans="1:11" s="11" customFormat="1" x14ac:dyDescent="0.25">
      <c r="A111" s="11" t="s">
        <v>271</v>
      </c>
      <c r="B111" s="11" t="str">
        <f>IFERROR(VLOOKUP(INVENTARIO[[#This Row],[CODIGO]],BASEDEDATOS[],2,FALSE),"NO EXISTE")</f>
        <v>TANAX MATA INSECTO 200CC</v>
      </c>
      <c r="C111" s="11" t="str">
        <f>IFERROR(VLOOKUP(INVENTARIO[[#This Row],[CODIGO]],BASEDEDATOS[],3,FALSE),"NO EXISTE")</f>
        <v>PLAGAS</v>
      </c>
      <c r="D111" s="11">
        <v>12</v>
      </c>
      <c r="E111" s="11">
        <v>12</v>
      </c>
      <c r="F111" s="11">
        <f>INVENTARIO[[#This Row],[COMPRAS]]-INVENTARIO[[#This Row],[VENTAS]]</f>
        <v>0</v>
      </c>
      <c r="G111" s="12">
        <v>1100</v>
      </c>
      <c r="H111" s="6">
        <v>2300</v>
      </c>
      <c r="I111" s="6">
        <f>INVENTARIO[[#This Row],[PRECIO DE VENTA]]-INVENTARIO[[#This Row],[COSTO UNITARIO]]</f>
        <v>1200</v>
      </c>
      <c r="J111" s="6">
        <f>INVENTARIO[[#This Row],[COSTO UNITARIO]]*INVENTARIO[[#This Row],[STOCK]]</f>
        <v>0</v>
      </c>
      <c r="K111" s="6">
        <f>+INVENTARIO[[#This Row],[VENTAS]]*INVENTARIO[[#This Row],[UTILIDAD POR PRODUCTO]]</f>
        <v>14400</v>
      </c>
    </row>
    <row r="112" spans="1:11" s="11" customFormat="1" x14ac:dyDescent="0.25">
      <c r="A112" s="11" t="s">
        <v>272</v>
      </c>
      <c r="B112" s="11" t="str">
        <f>IFERROR(VLOOKUP(INVENTARIO[[#This Row],[CODIGO]],BASEDEDATOS[],2,FALSE),"NO EXISTE")</f>
        <v>TODO INSECTO BAYGON 450ML</v>
      </c>
      <c r="C112" s="11" t="str">
        <f>IFERROR(VLOOKUP(INVENTARIO[[#This Row],[CODIGO]],BASEDEDATOS[],3,FALSE),"NO EXISTE")</f>
        <v>PLAGAS</v>
      </c>
      <c r="D112" s="11">
        <v>12</v>
      </c>
      <c r="E112" s="11">
        <v>1</v>
      </c>
      <c r="F112" s="11">
        <f>INVENTARIO[[#This Row],[COMPRAS]]-INVENTARIO[[#This Row],[VENTAS]]</f>
        <v>11</v>
      </c>
      <c r="G112" s="6">
        <v>1990</v>
      </c>
      <c r="H112" s="6">
        <v>3000</v>
      </c>
      <c r="I112" s="6">
        <f>INVENTARIO[[#This Row],[PRECIO DE VENTA]]-INVENTARIO[[#This Row],[COSTO UNITARIO]]</f>
        <v>1010</v>
      </c>
      <c r="J112" s="6">
        <f>INVENTARIO[[#This Row],[COSTO UNITARIO]]*INVENTARIO[[#This Row],[STOCK]]</f>
        <v>21890</v>
      </c>
      <c r="K112" s="6">
        <f>+INVENTARIO[[#This Row],[VENTAS]]*INVENTARIO[[#This Row],[UTILIDAD POR PRODUCTO]]</f>
        <v>1010</v>
      </c>
    </row>
    <row r="113" spans="1:11" s="11" customFormat="1" x14ac:dyDescent="0.25">
      <c r="A113" s="11" t="s">
        <v>273</v>
      </c>
      <c r="B113" s="11" t="str">
        <f>IFERROR(VLOOKUP(INVENTARIO[[#This Row],[CODIGO]],BASEDEDATOS[],2,FALSE),"NO EXISTE")</f>
        <v>VELAS</v>
      </c>
      <c r="C113" s="11" t="str">
        <f>IFERROR(VLOOKUP(INVENTARIO[[#This Row],[CODIGO]],BASEDEDATOS[],3,FALSE),"NO EXISTE")</f>
        <v>RESIDUOS</v>
      </c>
      <c r="D113" s="11">
        <v>24</v>
      </c>
      <c r="E113" s="11">
        <v>4</v>
      </c>
      <c r="F113" s="11">
        <f>INVENTARIO[[#This Row],[COMPRAS]]-INVENTARIO[[#This Row],[VENTAS]]</f>
        <v>20</v>
      </c>
      <c r="G113" s="6">
        <v>300</v>
      </c>
      <c r="H113" s="6">
        <v>700</v>
      </c>
      <c r="I113" s="6">
        <f>INVENTARIO[[#This Row],[PRECIO DE VENTA]]-INVENTARIO[[#This Row],[COSTO UNITARIO]]</f>
        <v>400</v>
      </c>
      <c r="J113" s="6">
        <f>INVENTARIO[[#This Row],[COSTO UNITARIO]]*INVENTARIO[[#This Row],[STOCK]]</f>
        <v>6000</v>
      </c>
      <c r="K113" s="6">
        <f>+INVENTARIO[[#This Row],[VENTAS]]*INVENTARIO[[#This Row],[UTILIDAD POR PRODUCTO]]</f>
        <v>1600</v>
      </c>
    </row>
    <row r="114" spans="1:11" x14ac:dyDescent="0.25">
      <c r="A114" t="s">
        <v>274</v>
      </c>
      <c r="B114" t="str">
        <f>IFERROR(VLOOKUP(INVENTARIO[[#This Row],[CODIGO]],BASEDEDATOS[],2,FALSE),"NO EXISTE")</f>
        <v>ENCENDEDOR</v>
      </c>
      <c r="C114" t="str">
        <f>IFERROR(VLOOKUP(INVENTARIO[[#This Row],[CODIGO]],BASEDEDATOS[],3,FALSE),"NO EXISTE")</f>
        <v>RESIDUOS</v>
      </c>
      <c r="D114" cm="1">
        <f t="array" ref="D114">SUMPRODUCT(SUMIF(COMPRAS[CODIGO],INVENTARIO!A113:A115,COMPRAS[CANTIDAD]))</f>
        <v>0</v>
      </c>
      <c r="E114" cm="1">
        <f t="array" ref="E114">SUM(SUMIF(VENTAS[CODIGO],INVENTARIO!A113:A116,VENTAS[CANTIDAD]))</f>
        <v>0</v>
      </c>
      <c r="F114">
        <f>INVENTARIO[[#This Row],[COMPRAS]]-INVENTARIO[[#This Row],[VENTAS]]</f>
        <v>0</v>
      </c>
      <c r="I114" s="5">
        <f>INVENTARIO[[#This Row],[PRECIO DE VENTA]]-INVENTARIO[[#This Row],[COSTO UNITARIO]]</f>
        <v>0</v>
      </c>
      <c r="J114" s="5">
        <f>INVENTARIO[[#This Row],[COSTO UNITARIO]]*INVENTARIO[[#This Row],[STOCK]]</f>
        <v>0</v>
      </c>
      <c r="K114" s="5">
        <f>+INVENTARIO[[#This Row],[VENTAS]]*INVENTARIO[[#This Row],[UTILIDAD POR PRODUCTO]]</f>
        <v>0</v>
      </c>
    </row>
    <row r="115" spans="1:11" s="11" customFormat="1" x14ac:dyDescent="0.25">
      <c r="A115" s="11" t="s">
        <v>275</v>
      </c>
      <c r="B115" s="11" t="str">
        <f>IFERROR(VLOOKUP(INVENTARIO[[#This Row],[CODIGO]],BASEDEDATOS[],2,FALSE),"NO EXISTE")</f>
        <v>AMPOLLETAS</v>
      </c>
      <c r="C115" s="11" t="str">
        <f>IFERROR(VLOOKUP(INVENTARIO[[#This Row],[CODIGO]],BASEDEDATOS[],3,FALSE),"NO EXISTE")</f>
        <v>RESIDUOS</v>
      </c>
      <c r="D115" s="11">
        <v>40</v>
      </c>
      <c r="E115" s="11">
        <v>4</v>
      </c>
      <c r="F115" s="11">
        <f>INVENTARIO[[#This Row],[COMPRAS]]-INVENTARIO[[#This Row],[VENTAS]]</f>
        <v>36</v>
      </c>
      <c r="G115" s="6">
        <v>450</v>
      </c>
      <c r="H115" s="6">
        <v>1000</v>
      </c>
      <c r="I115" s="6">
        <f>INVENTARIO[[#This Row],[PRECIO DE VENTA]]-INVENTARIO[[#This Row],[COSTO UNITARIO]]</f>
        <v>550</v>
      </c>
      <c r="J115" s="6">
        <f>INVENTARIO[[#This Row],[COSTO UNITARIO]]*INVENTARIO[[#This Row],[STOCK]]</f>
        <v>16200</v>
      </c>
      <c r="K115" s="6">
        <f>+INVENTARIO[[#This Row],[VENTAS]]*INVENTARIO[[#This Row],[UTILIDAD POR PRODUCTO]]</f>
        <v>2200</v>
      </c>
    </row>
    <row r="116" spans="1:11" x14ac:dyDescent="0.25">
      <c r="A116" t="s">
        <v>276</v>
      </c>
      <c r="B116" t="str">
        <f>IFERROR(VLOOKUP(INVENTARIO[[#This Row],[CODIGO]],BASEDEDATOS[],2,FALSE),"NO EXISTE")</f>
        <v>BOLSA DE BASURA 50*70</v>
      </c>
      <c r="C116" t="str">
        <f>IFERROR(VLOOKUP(INVENTARIO[[#This Row],[CODIGO]],BASEDEDATOS[],3,FALSE),"NO EXISTE")</f>
        <v>RESIDUOS</v>
      </c>
      <c r="D116" cm="1">
        <f t="array" ref="D116">SUMPRODUCT(SUMIF(COMPRAS[CODIGO],INVENTARIO!A115:A117,COMPRAS[CANTIDAD]))</f>
        <v>0</v>
      </c>
      <c r="E116" cm="1">
        <f t="array" ref="E116">SUM(SUMIF(VENTAS[CODIGO],INVENTARIO!A115:A118,VENTAS[CANTIDAD]))</f>
        <v>0</v>
      </c>
      <c r="F116">
        <f>INVENTARIO[[#This Row],[COMPRAS]]-INVENTARIO[[#This Row],[VENTAS]]</f>
        <v>0</v>
      </c>
      <c r="I116" s="5">
        <f>INVENTARIO[[#This Row],[PRECIO DE VENTA]]-INVENTARIO[[#This Row],[COSTO UNITARIO]]</f>
        <v>0</v>
      </c>
      <c r="J116" s="5">
        <f>INVENTARIO[[#This Row],[COSTO UNITARIO]]*INVENTARIO[[#This Row],[STOCK]]</f>
        <v>0</v>
      </c>
      <c r="K116" s="5">
        <f>+INVENTARIO[[#This Row],[VENTAS]]*INVENTARIO[[#This Row],[UTILIDAD POR PRODUCTO]]</f>
        <v>0</v>
      </c>
    </row>
    <row r="117" spans="1:11" x14ac:dyDescent="0.25">
      <c r="A117" t="s">
        <v>277</v>
      </c>
      <c r="B117" t="str">
        <f>IFERROR(VLOOKUP(INVENTARIO[[#This Row],[CODIGO]],BASEDEDATOS[],2,FALSE),"NO EXISTE")</f>
        <v>BOLSA DE BASURA 70*90</v>
      </c>
      <c r="C117" t="str">
        <f>IFERROR(VLOOKUP(INVENTARIO[[#This Row],[CODIGO]],BASEDEDATOS[],3,FALSE),"NO EXISTE")</f>
        <v>RESIDUOS</v>
      </c>
      <c r="D117" cm="1">
        <f t="array" ref="D117">SUMPRODUCT(SUMIF(COMPRAS[CODIGO],INVENTARIO!A116:A118,COMPRAS[CANTIDAD]))</f>
        <v>0</v>
      </c>
      <c r="E117" cm="1">
        <f t="array" ref="E117">SUM(SUMIF(VENTAS[CODIGO],INVENTARIO!A116:A119,VENTAS[CANTIDAD]))</f>
        <v>0</v>
      </c>
      <c r="F117">
        <f>INVENTARIO[[#This Row],[COMPRAS]]-INVENTARIO[[#This Row],[VENTAS]]</f>
        <v>0</v>
      </c>
      <c r="I117" s="5">
        <f>INVENTARIO[[#This Row],[PRECIO DE VENTA]]-INVENTARIO[[#This Row],[COSTO UNITARIO]]</f>
        <v>0</v>
      </c>
      <c r="J117" s="5">
        <f>INVENTARIO[[#This Row],[COSTO UNITARIO]]*INVENTARIO[[#This Row],[STOCK]]</f>
        <v>0</v>
      </c>
      <c r="K117" s="5">
        <f>+INVENTARIO[[#This Row],[VENTAS]]*INVENTARIO[[#This Row],[UTILIDAD POR PRODUCTO]]</f>
        <v>0</v>
      </c>
    </row>
    <row r="118" spans="1:11" x14ac:dyDescent="0.25">
      <c r="A118" t="s">
        <v>278</v>
      </c>
      <c r="B118" t="str">
        <f>IFERROR(VLOOKUP(INVENTARIO[[#This Row],[CODIGO]],BASEDEDATOS[],2,FALSE),"NO EXISTE")</f>
        <v>BOLSA DE BASURA 80*110</v>
      </c>
      <c r="C118" t="str">
        <f>IFERROR(VLOOKUP(INVENTARIO[[#This Row],[CODIGO]],BASEDEDATOS[],3,FALSE),"NO EXISTE")</f>
        <v>RESIDUOS</v>
      </c>
      <c r="D118" cm="1">
        <f t="array" ref="D118">SUMPRODUCT(SUMIF(COMPRAS[CODIGO],INVENTARIO!A117:A119,COMPRAS[CANTIDAD]))</f>
        <v>0</v>
      </c>
      <c r="E118" cm="1">
        <f t="array" ref="E118">SUM(SUMIF(VENTAS[CODIGO],INVENTARIO!A117:A120,VENTAS[CANTIDAD]))</f>
        <v>0</v>
      </c>
      <c r="F118">
        <f>INVENTARIO[[#This Row],[COMPRAS]]-INVENTARIO[[#This Row],[VENTAS]]</f>
        <v>0</v>
      </c>
      <c r="I118" s="5">
        <f>INVENTARIO[[#This Row],[PRECIO DE VENTA]]-INVENTARIO[[#This Row],[COSTO UNITARIO]]</f>
        <v>0</v>
      </c>
      <c r="J118" s="5">
        <f>INVENTARIO[[#This Row],[COSTO UNITARIO]]*INVENTARIO[[#This Row],[STOCK]]</f>
        <v>0</v>
      </c>
      <c r="K118" s="5">
        <f>+INVENTARIO[[#This Row],[VENTAS]]*INVENTARIO[[#This Row],[UTILIDAD POR PRODUCTO]]</f>
        <v>0</v>
      </c>
    </row>
    <row r="119" spans="1:11" x14ac:dyDescent="0.25">
      <c r="A119" t="s">
        <v>279</v>
      </c>
      <c r="B119" t="str">
        <f>IFERROR(VLOOKUP(INVENTARIO[[#This Row],[CODIGO]],BASEDEDATOS[],2,FALSE),"NO EXISTE")</f>
        <v>BOLSA DE BASURA 90*120</v>
      </c>
      <c r="C119" t="str">
        <f>IFERROR(VLOOKUP(INVENTARIO[[#This Row],[CODIGO]],BASEDEDATOS[],3,FALSE),"NO EXISTE")</f>
        <v>RESIDUOS</v>
      </c>
      <c r="D119" cm="1">
        <f t="array" ref="D119">SUMPRODUCT(SUMIF(COMPRAS[CODIGO],INVENTARIO!A118:A120,COMPRAS[CANTIDAD]))</f>
        <v>0</v>
      </c>
      <c r="E119" cm="1">
        <f t="array" ref="E119">SUM(SUMIF(VENTAS[CODIGO],INVENTARIO!A118:A121,VENTAS[CANTIDAD]))</f>
        <v>0</v>
      </c>
      <c r="F119">
        <f>INVENTARIO[[#This Row],[COMPRAS]]-INVENTARIO[[#This Row],[VENTAS]]</f>
        <v>0</v>
      </c>
      <c r="I119" s="5">
        <f>INVENTARIO[[#This Row],[PRECIO DE VENTA]]-INVENTARIO[[#This Row],[COSTO UNITARIO]]</f>
        <v>0</v>
      </c>
      <c r="J119" s="5">
        <f>INVENTARIO[[#This Row],[COSTO UNITARIO]]*INVENTARIO[[#This Row],[STOCK]]</f>
        <v>0</v>
      </c>
      <c r="K119" s="5">
        <f>+INVENTARIO[[#This Row],[VENTAS]]*INVENTARIO[[#This Row],[UTILIDAD POR PRODUCTO]]</f>
        <v>0</v>
      </c>
    </row>
    <row r="120" spans="1:11" s="11" customFormat="1" x14ac:dyDescent="0.25">
      <c r="A120" s="11" t="s">
        <v>280</v>
      </c>
      <c r="B120" s="11" t="str">
        <f>IFERROR(VLOOKUP(INVENTARIO[[#This Row],[CODIGO]],BASEDEDATOS[],2,FALSE),"NO EXISTE")</f>
        <v>DISCO ACTIVO DE INODORO MORADO</v>
      </c>
      <c r="C120" s="11" t="str">
        <f>IFERROR(VLOOKUP(INVENTARIO[[#This Row],[CODIGO]],BASEDEDATOS[],3,FALSE),"NO EXISTE")</f>
        <v>RESIDUOS</v>
      </c>
      <c r="D120" s="11">
        <v>18</v>
      </c>
      <c r="E120" s="11">
        <v>2</v>
      </c>
      <c r="F120" s="11">
        <f>INVENTARIO[[#This Row],[COMPRAS]]-INVENTARIO[[#This Row],[VENTAS]]</f>
        <v>16</v>
      </c>
      <c r="G120" s="6">
        <v>650</v>
      </c>
      <c r="H120" s="6">
        <v>1000</v>
      </c>
      <c r="I120" s="6">
        <f>INVENTARIO[[#This Row],[PRECIO DE VENTA]]-INVENTARIO[[#This Row],[COSTO UNITARIO]]</f>
        <v>350</v>
      </c>
      <c r="J120" s="6">
        <f>INVENTARIO[[#This Row],[COSTO UNITARIO]]*INVENTARIO[[#This Row],[STOCK]]</f>
        <v>10400</v>
      </c>
      <c r="K120" s="6">
        <f>+INVENTARIO[[#This Row],[VENTAS]]*INVENTARIO[[#This Row],[UTILIDAD POR PRODUCTO]]</f>
        <v>700</v>
      </c>
    </row>
    <row r="121" spans="1:11" s="11" customFormat="1" x14ac:dyDescent="0.25">
      <c r="A121" s="11" t="s">
        <v>281</v>
      </c>
      <c r="B121" s="11" t="str">
        <f>IFERROR(VLOOKUP(INVENTARIO[[#This Row],[CODIGO]],BASEDEDATOS[],2,FALSE),"NO EXISTE")</f>
        <v>DISCO ACTIVO DE INODORO AMARILLO</v>
      </c>
      <c r="C121" s="11" t="str">
        <f>IFERROR(VLOOKUP(INVENTARIO[[#This Row],[CODIGO]],BASEDEDATOS[],3,FALSE),"NO EXISTE")</f>
        <v>RESIDUOS</v>
      </c>
      <c r="D121" s="11">
        <v>18</v>
      </c>
      <c r="E121" s="11">
        <v>2</v>
      </c>
      <c r="F121" s="11">
        <f>INVENTARIO[[#This Row],[COMPRAS]]-INVENTARIO[[#This Row],[VENTAS]]</f>
        <v>16</v>
      </c>
      <c r="G121" s="6">
        <v>650</v>
      </c>
      <c r="H121" s="6">
        <v>1000</v>
      </c>
      <c r="I121" s="6">
        <f>INVENTARIO[[#This Row],[PRECIO DE VENTA]]-INVENTARIO[[#This Row],[COSTO UNITARIO]]</f>
        <v>350</v>
      </c>
      <c r="J121" s="6">
        <f>INVENTARIO[[#This Row],[COSTO UNITARIO]]*INVENTARIO[[#This Row],[STOCK]]</f>
        <v>10400</v>
      </c>
      <c r="K121" s="6">
        <f>+INVENTARIO[[#This Row],[VENTAS]]*INVENTARIO[[#This Row],[UTILIDAD POR PRODUCTO]]</f>
        <v>700</v>
      </c>
    </row>
    <row r="122" spans="1:11" s="11" customFormat="1" x14ac:dyDescent="0.25">
      <c r="A122" s="11" t="s">
        <v>282</v>
      </c>
      <c r="B122" s="11" t="str">
        <f>IFERROR(VLOOKUP(INVENTARIO[[#This Row],[CODIGO]],BASEDEDATOS[],2,FALSE),"NO EXISTE")</f>
        <v>PASTILLA AZUL PARA INODORO</v>
      </c>
      <c r="C122" s="11" t="str">
        <f>IFERROR(VLOOKUP(INVENTARIO[[#This Row],[CODIGO]],BASEDEDATOS[],3,FALSE),"NO EXISTE")</f>
        <v>SUPERFICIE</v>
      </c>
      <c r="D122" s="11">
        <v>24</v>
      </c>
      <c r="E122" s="11">
        <v>3</v>
      </c>
      <c r="F122" s="11">
        <f>INVENTARIO[[#This Row],[COMPRAS]]-INVENTARIO[[#This Row],[VENTAS]]</f>
        <v>21</v>
      </c>
      <c r="G122" s="6">
        <v>490</v>
      </c>
      <c r="H122" s="6">
        <v>1000</v>
      </c>
      <c r="I122" s="6">
        <f>INVENTARIO[[#This Row],[PRECIO DE VENTA]]-INVENTARIO[[#This Row],[COSTO UNITARIO]]</f>
        <v>510</v>
      </c>
      <c r="J122" s="6">
        <f>INVENTARIO[[#This Row],[COSTO UNITARIO]]*INVENTARIO[[#This Row],[STOCK]]</f>
        <v>10290</v>
      </c>
      <c r="K122" s="6">
        <f>+INVENTARIO[[#This Row],[VENTAS]]*INVENTARIO[[#This Row],[UTILIDAD POR PRODUCTO]]</f>
        <v>1530</v>
      </c>
    </row>
    <row r="123" spans="1:11" s="11" customFormat="1" x14ac:dyDescent="0.25">
      <c r="A123" s="11" t="s">
        <v>283</v>
      </c>
      <c r="B123" s="11" t="str">
        <f>IFERROR(VLOOKUP(INVENTARIO[[#This Row],[CODIGO]],BASEDEDATOS[],2,FALSE),"NO EXISTE")</f>
        <v>PILAS AA</v>
      </c>
      <c r="C123" s="11" t="str">
        <f>IFERROR(VLOOKUP(INVENTARIO[[#This Row],[CODIGO]],BASEDEDATOS[],3,FALSE),"NO EXISTE")</f>
        <v>SUPERFICIE</v>
      </c>
      <c r="D123" s="11">
        <v>10</v>
      </c>
      <c r="E123" s="11">
        <v>4</v>
      </c>
      <c r="F123" s="11">
        <f>INVENTARIO[[#This Row],[COMPRAS]]-INVENTARIO[[#This Row],[VENTAS]]</f>
        <v>6</v>
      </c>
      <c r="G123" s="6">
        <v>450</v>
      </c>
      <c r="H123" s="6">
        <v>600</v>
      </c>
      <c r="I123" s="6">
        <f>INVENTARIO[[#This Row],[PRECIO DE VENTA]]-INVENTARIO[[#This Row],[COSTO UNITARIO]]</f>
        <v>150</v>
      </c>
      <c r="J123" s="6">
        <f>INVENTARIO[[#This Row],[COSTO UNITARIO]]*INVENTARIO[[#This Row],[STOCK]]</f>
        <v>2700</v>
      </c>
      <c r="K123" s="6">
        <f>+INVENTARIO[[#This Row],[VENTAS]]*INVENTARIO[[#This Row],[UTILIDAD POR PRODUCTO]]</f>
        <v>600</v>
      </c>
    </row>
    <row r="124" spans="1:11" s="11" customFormat="1" x14ac:dyDescent="0.25">
      <c r="A124" s="11" t="s">
        <v>286</v>
      </c>
      <c r="B124" s="11" t="str">
        <f>IFERROR(VLOOKUP(INVENTARIO[[#This Row],[CODIGO]],BASEDEDATOS[],2,FALSE),"NO EXISTE")</f>
        <v>PALAS</v>
      </c>
      <c r="C124" s="11" t="str">
        <f>IFERROR(VLOOKUP(INVENTARIO[[#This Row],[CODIGO]],BASEDEDATOS[],3,FALSE),"NO EXISTE")</f>
        <v>SUPERFICIE</v>
      </c>
      <c r="D124" s="13">
        <v>24</v>
      </c>
      <c r="E124" s="11">
        <v>1</v>
      </c>
      <c r="F124" s="11">
        <f>INVENTARIO[[#This Row],[COMPRAS]]-INVENTARIO[[#This Row],[VENTAS]]</f>
        <v>23</v>
      </c>
      <c r="G124" s="6">
        <v>450</v>
      </c>
      <c r="H124" s="6">
        <v>1000</v>
      </c>
      <c r="I124" s="6">
        <f>INVENTARIO[[#This Row],[PRECIO DE VENTA]]-INVENTARIO[[#This Row],[COSTO UNITARIO]]</f>
        <v>550</v>
      </c>
      <c r="J124" s="6">
        <f>INVENTARIO[[#This Row],[COSTO UNITARIO]]*INVENTARIO[[#This Row],[STOCK]]</f>
        <v>10350</v>
      </c>
      <c r="K124" s="6">
        <f>+INVENTARIO[[#This Row],[VENTAS]]*INVENTARIO[[#This Row],[UTILIDAD POR PRODUCTO]]</f>
        <v>550</v>
      </c>
    </row>
    <row r="125" spans="1:11" s="11" customFormat="1" x14ac:dyDescent="0.25">
      <c r="A125" s="11" t="s">
        <v>289</v>
      </c>
      <c r="B125" s="11" t="str">
        <f>IFERROR(VLOOKUP(INVENTARIO[[#This Row],[CODIGO]],BASEDEDATOS[],2,FALSE),"NO EXISTE")</f>
        <v>DETERGENTE PREMIUM AROMA OMO DE 3 LITROS (1 UNID)</v>
      </c>
      <c r="C125" s="11" t="str">
        <f>IFERROR(VLOOKUP(INVENTARIO[[#This Row],[CODIGO]],BASEDEDATOS[],3,FALSE),"NO EXISTE")</f>
        <v>LAVANDERIA</v>
      </c>
      <c r="D125" s="11">
        <v>5</v>
      </c>
      <c r="E125" s="11">
        <v>3</v>
      </c>
      <c r="F125" s="11">
        <f>INVENTARIO[[#This Row],[COMPRAS]]-INVENTARIO[[#This Row],[VENTAS]]</f>
        <v>2</v>
      </c>
      <c r="G125" s="6">
        <v>1350</v>
      </c>
      <c r="H125" s="6">
        <v>3500</v>
      </c>
      <c r="I125" s="6">
        <f>INVENTARIO[[#This Row],[PRECIO DE VENTA]]-INVENTARIO[[#This Row],[COSTO UNITARIO]]</f>
        <v>2150</v>
      </c>
      <c r="J125" s="6">
        <f>INVENTARIO[[#This Row],[COSTO UNITARIO]]*INVENTARIO[[#This Row],[STOCK]]</f>
        <v>2700</v>
      </c>
      <c r="K125" s="6">
        <f>+INVENTARIO[[#This Row],[VENTAS]]*INVENTARIO[[#This Row],[UTILIDAD POR PRODUCTO]]</f>
        <v>6450</v>
      </c>
    </row>
    <row r="132" spans="3:11" x14ac:dyDescent="0.25">
      <c r="K132" s="5">
        <f>SUM(K7:K131)</f>
        <v>339093</v>
      </c>
    </row>
    <row r="141" spans="3:11" x14ac:dyDescent="0.25">
      <c r="C141" t="s">
        <v>284</v>
      </c>
    </row>
  </sheetData>
  <mergeCells count="1">
    <mergeCell ref="A1:J3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B037-4508-455F-AF40-BAADC3553C0F}">
  <dimension ref="A1:I64"/>
  <sheetViews>
    <sheetView topLeftCell="A37" workbookViewId="0">
      <selection activeCell="E66" activeCellId="1" sqref="A64 E66"/>
    </sheetView>
  </sheetViews>
  <sheetFormatPr baseColWidth="10" defaultRowHeight="15" x14ac:dyDescent="0.25"/>
  <cols>
    <col min="1" max="1" width="11.5703125" style="1"/>
    <col min="2" max="2" width="20.85546875" bestFit="1" customWidth="1"/>
    <col min="3" max="4" width="11.5703125" style="1"/>
    <col min="5" max="5" width="46.28515625" bestFit="1" customWidth="1"/>
    <col min="6" max="6" width="22.42578125" style="1" bestFit="1" customWidth="1"/>
    <col min="7" max="7" width="19.7109375" customWidth="1"/>
    <col min="9" max="9" width="12.28515625" bestFit="1" customWidth="1"/>
  </cols>
  <sheetData>
    <row r="1" spans="1:9" x14ac:dyDescent="0.25">
      <c r="A1" s="17" t="s">
        <v>107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7"/>
      <c r="B2" s="17"/>
      <c r="C2" s="17"/>
      <c r="D2" s="17"/>
      <c r="E2" s="17"/>
      <c r="F2" s="17"/>
      <c r="G2" s="17"/>
      <c r="H2" s="17"/>
      <c r="I2" s="17"/>
    </row>
    <row r="3" spans="1:9" x14ac:dyDescent="0.2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25">
      <c r="I4" s="2" t="s">
        <v>119</v>
      </c>
    </row>
    <row r="5" spans="1:9" x14ac:dyDescent="0.25">
      <c r="I5" s="6">
        <f>SUBTOTAL(9,I7:I118)</f>
        <v>973059</v>
      </c>
    </row>
    <row r="6" spans="1:9" x14ac:dyDescent="0.25">
      <c r="A6" s="1" t="s">
        <v>0</v>
      </c>
      <c r="B6" t="s">
        <v>115</v>
      </c>
      <c r="C6" s="1" t="s">
        <v>116</v>
      </c>
      <c r="D6" s="1" t="s">
        <v>117</v>
      </c>
      <c r="E6" t="s">
        <v>1</v>
      </c>
      <c r="F6" s="1" t="s">
        <v>2</v>
      </c>
      <c r="G6" t="s">
        <v>110</v>
      </c>
      <c r="H6" t="s">
        <v>118</v>
      </c>
      <c r="I6" t="s">
        <v>119</v>
      </c>
    </row>
    <row r="7" spans="1:9" x14ac:dyDescent="0.25">
      <c r="A7" s="1" t="s">
        <v>4</v>
      </c>
      <c r="B7" s="7">
        <v>45945</v>
      </c>
      <c r="C7" s="1" t="str">
        <f>TEXT(COMPRAS[[#This Row],[FECHA]],"[$-es-CL]mmmm")</f>
        <v>octubre</v>
      </c>
      <c r="D7" s="1" cm="1">
        <f t="array" ref="D7">YEAR(IF(ISNUMBER(COMPRAS[[#This Row],[FECHA]]),COMPRAS[[#This Row],[FECHA]],FECHA.VALOR(COMPRAS[[#This Row],[FECHA]])))</f>
        <v>2025</v>
      </c>
      <c r="E7" t="str">
        <f>IFERROR(VLOOKUP(COMPRAS[[#This Row],[CODIGO]],INVENTARIO[],2,FALSE),"NO EXISTE")</f>
        <v>DETERGENTE BIO AZUL DE 5 LITROS</v>
      </c>
      <c r="F7" s="1" t="str">
        <f>IFERROR(VLOOKUP(COMPRAS[[#This Row],[CODIGO]],INVENTARIO[],3,FALSE),"NO EXISTE")</f>
        <v>LAVANDERIA</v>
      </c>
      <c r="G7" s="5">
        <v>920</v>
      </c>
      <c r="H7">
        <v>150</v>
      </c>
      <c r="I7" s="5">
        <f>COMPRAS[[#This Row],[COSTO UNITARIO]]*COMPRAS[[#This Row],[CANTIDAD]]</f>
        <v>138000</v>
      </c>
    </row>
    <row r="8" spans="1:9" x14ac:dyDescent="0.25">
      <c r="A8" s="1" t="s">
        <v>5</v>
      </c>
      <c r="B8" s="7">
        <v>45945</v>
      </c>
      <c r="C8" s="1" t="str">
        <f>TEXT(COMPRAS[[#This Row],[FECHA]],"[$-es-CL]mmmm")</f>
        <v>octubre</v>
      </c>
      <c r="D8" s="1" cm="1">
        <f t="array" ref="D8">YEAR(IF(ISNUMBER(COMPRAS[[#This Row],[FECHA]]),COMPRAS[[#This Row],[FECHA]],FECHA.VALOR(COMPRAS[[#This Row],[FECHA]])))</f>
        <v>2025</v>
      </c>
      <c r="E8" t="str">
        <f>IFERROR(VLOOKUP(COMPRAS[[#This Row],[CODIGO]],INVENTARIO[],2,FALSE),"NO EXISTE")</f>
        <v>DETERGENTE BIO VERDE DE 5 LITROS</v>
      </c>
      <c r="F8" s="1" t="str">
        <f>IFERROR(VLOOKUP(COMPRAS[[#This Row],[CODIGO]],INVENTARIO[],3,FALSE),"NO EXISTE")</f>
        <v>LAVANDERIA</v>
      </c>
      <c r="G8" s="5">
        <v>920</v>
      </c>
      <c r="H8">
        <v>50</v>
      </c>
      <c r="I8" s="5">
        <f>COMPRAS[[#This Row],[COSTO UNITARIO]]*COMPRAS[[#This Row],[CANTIDAD]]</f>
        <v>46000</v>
      </c>
    </row>
    <row r="9" spans="1:9" x14ac:dyDescent="0.25">
      <c r="A9" s="1" t="s">
        <v>6</v>
      </c>
      <c r="B9" s="7">
        <v>45945</v>
      </c>
      <c r="C9" s="1" t="str">
        <f>TEXT(COMPRAS[[#This Row],[FECHA]],"[$-es-CL]mmmm")</f>
        <v>octubre</v>
      </c>
      <c r="D9" s="1" cm="1">
        <f t="array" ref="D9">YEAR(IF(ISNUMBER(COMPRAS[[#This Row],[FECHA]]),COMPRAS[[#This Row],[FECHA]],FECHA.VALOR(COMPRAS[[#This Row],[FECHA]])))</f>
        <v>2025</v>
      </c>
      <c r="E9" t="str">
        <f>IFERROR(VLOOKUP(COMPRAS[[#This Row],[CODIGO]],INVENTARIO[],2,FALSE),"NO EXISTE")</f>
        <v>DETERGENTE MORADO CON SUAVIZANTE DE 5 LITROS</v>
      </c>
      <c r="F9" s="1" t="str">
        <f>IFERROR(VLOOKUP(COMPRAS[[#This Row],[CODIGO]],INVENTARIO[],3,FALSE),"NO EXISTE")</f>
        <v>LAVANDERIA</v>
      </c>
      <c r="G9" s="5">
        <v>1490</v>
      </c>
      <c r="H9">
        <v>0</v>
      </c>
      <c r="I9" s="5">
        <f>COMPRAS[[#This Row],[COSTO UNITARIO]]*COMPRAS[[#This Row],[CANTIDAD]]</f>
        <v>0</v>
      </c>
    </row>
    <row r="10" spans="1:9" x14ac:dyDescent="0.25">
      <c r="A10" s="1" t="s">
        <v>7</v>
      </c>
      <c r="B10" s="7">
        <v>45945</v>
      </c>
      <c r="C10" s="1" t="str">
        <f>TEXT(COMPRAS[[#This Row],[FECHA]],"[$-es-CL]mmmm")</f>
        <v>octubre</v>
      </c>
      <c r="D10" s="1" cm="1">
        <f t="array" ref="D10">YEAR(IF(ISNUMBER(COMPRAS[[#This Row],[FECHA]]),COMPRAS[[#This Row],[FECHA]],FECHA.VALOR(COMPRAS[[#This Row],[FECHA]])))</f>
        <v>2025</v>
      </c>
      <c r="E10" t="str">
        <f>IFERROR(VLOOKUP(COMPRAS[[#This Row],[CODIGO]],INVENTARIO[],2,FALSE),"NO EXISTE")</f>
        <v>DETERGENTE BLANCO CON SUAVIZANTE DE 5 LITROS</v>
      </c>
      <c r="F10" s="1" t="str">
        <f>IFERROR(VLOOKUP(COMPRAS[[#This Row],[CODIGO]],INVENTARIO[],3,FALSE),"NO EXISTE")</f>
        <v>LAVANDERIA</v>
      </c>
      <c r="G10" s="5">
        <v>1490</v>
      </c>
      <c r="H10">
        <v>0</v>
      </c>
      <c r="I10" s="5">
        <f>COMPRAS[[#This Row],[COSTO UNITARIO]]*COMPRAS[[#This Row],[CANTIDAD]]</f>
        <v>0</v>
      </c>
    </row>
    <row r="11" spans="1:9" x14ac:dyDescent="0.25">
      <c r="A11" s="1" t="s">
        <v>8</v>
      </c>
      <c r="B11" s="7">
        <v>45945</v>
      </c>
      <c r="C11" s="1" t="str">
        <f>TEXT(COMPRAS[[#This Row],[FECHA]],"[$-es-CL]mmmm")</f>
        <v>octubre</v>
      </c>
      <c r="D11" s="1" cm="1">
        <f t="array" ref="D11">YEAR(IF(ISNUMBER(COMPRAS[[#This Row],[FECHA]]),COMPRAS[[#This Row],[FECHA]],FECHA.VALOR(COMPRAS[[#This Row],[FECHA]])))</f>
        <v>2025</v>
      </c>
      <c r="E11" t="str">
        <f>IFERROR(VLOOKUP(COMPRAS[[#This Row],[CODIGO]],INVENTARIO[],2,FALSE),"NO EXISTE")</f>
        <v>DETERGENTE CELESTE CON SUAVIZANTE DE 5 LITROS</v>
      </c>
      <c r="F11" s="1" t="str">
        <f>IFERROR(VLOOKUP(COMPRAS[[#This Row],[CODIGO]],INVENTARIO[],3,FALSE),"NO EXISTE")</f>
        <v>LAVANDERIA</v>
      </c>
      <c r="G11" s="5">
        <v>1490</v>
      </c>
      <c r="I11" s="5">
        <f>COMPRAS[[#This Row],[COSTO UNITARIO]]*COMPRAS[[#This Row],[CANTIDAD]]</f>
        <v>0</v>
      </c>
    </row>
    <row r="12" spans="1:9" x14ac:dyDescent="0.25">
      <c r="A12" s="1" t="s">
        <v>9</v>
      </c>
      <c r="B12" s="7">
        <v>45945</v>
      </c>
      <c r="C12" s="1" t="str">
        <f>TEXT(COMPRAS[[#This Row],[FECHA]],"[$-es-CL]mmmm")</f>
        <v>octubre</v>
      </c>
      <c r="D12" s="1" cm="1">
        <f t="array" ref="D12">YEAR(IF(ISNUMBER(COMPRAS[[#This Row],[FECHA]]),COMPRAS[[#This Row],[FECHA]],FECHA.VALOR(COMPRAS[[#This Row],[FECHA]])))</f>
        <v>2025</v>
      </c>
      <c r="E12" t="str">
        <f>IFERROR(VLOOKUP(COMPRAS[[#This Row],[CODIGO]],INVENTARIO[],2,FALSE),"NO EXISTE")</f>
        <v>DETERGENTE NARANJO CON SUAVIZANTE DE 5 LITROS</v>
      </c>
      <c r="F12" s="1" t="str">
        <f>IFERROR(VLOOKUP(COMPRAS[[#This Row],[CODIGO]],INVENTARIO[],3,FALSE),"NO EXISTE")</f>
        <v>LAVANDERIA</v>
      </c>
      <c r="G12" s="5">
        <v>1490</v>
      </c>
      <c r="I12" s="5">
        <f>COMPRAS[[#This Row],[COSTO UNITARIO]]*COMPRAS[[#This Row],[CANTIDAD]]</f>
        <v>0</v>
      </c>
    </row>
    <row r="13" spans="1:9" x14ac:dyDescent="0.25">
      <c r="A13" s="1" t="s">
        <v>10</v>
      </c>
      <c r="B13" s="7">
        <v>45945</v>
      </c>
      <c r="C13" s="1" t="str">
        <f>TEXT(COMPRAS[[#This Row],[FECHA]],"[$-es-CL]mmmm")</f>
        <v>octubre</v>
      </c>
      <c r="D13" s="1" cm="1">
        <f t="array" ref="D13">YEAR(IF(ISNUMBER(COMPRAS[[#This Row],[FECHA]]),COMPRAS[[#This Row],[FECHA]],FECHA.VALOR(COMPRAS[[#This Row],[FECHA]])))</f>
        <v>2025</v>
      </c>
      <c r="E13" t="str">
        <f>IFERROR(VLOOKUP(COMPRAS[[#This Row],[CODIGO]],INVENTARIO[],2,FALSE),"NO EXISTE")</f>
        <v>DETERGENTE ROSADO CON SUAVIZANTE DE 5 LITROS</v>
      </c>
      <c r="F13" s="1" t="str">
        <f>IFERROR(VLOOKUP(COMPRAS[[#This Row],[CODIGO]],INVENTARIO[],3,FALSE),"NO EXISTE")</f>
        <v>LAVANDERIA</v>
      </c>
      <c r="G13" s="5">
        <v>1490</v>
      </c>
      <c r="I13" s="5">
        <f>COMPRAS[[#This Row],[COSTO UNITARIO]]*COMPRAS[[#This Row],[CANTIDAD]]</f>
        <v>0</v>
      </c>
    </row>
    <row r="14" spans="1:9" x14ac:dyDescent="0.25">
      <c r="A14" s="1" t="s">
        <v>11</v>
      </c>
      <c r="B14" s="7">
        <v>45945</v>
      </c>
      <c r="C14" s="1" t="str">
        <f>TEXT(COMPRAS[[#This Row],[FECHA]],"[$-es-CL]mmmm")</f>
        <v>octubre</v>
      </c>
      <c r="D14" s="1" cm="1">
        <f t="array" ref="D14">YEAR(IF(ISNUMBER(COMPRAS[[#This Row],[FECHA]]),COMPRAS[[#This Row],[FECHA]],FECHA.VALOR(COMPRAS[[#This Row],[FECHA]])))</f>
        <v>2025</v>
      </c>
      <c r="E14" t="str">
        <f>IFERROR(VLOOKUP(COMPRAS[[#This Row],[CODIGO]],INVENTARIO[],2,FALSE),"NO EXISTE")</f>
        <v>DETERGENTE PREMIUM AROMA OMO DE 3 LITROS (PACK DE 4 UNID)</v>
      </c>
      <c r="F14" s="1" t="str">
        <f>IFERROR(VLOOKUP(COMPRAS[[#This Row],[CODIGO]],INVENTARIO[],3,FALSE),"NO EXISTE")</f>
        <v>LAVANDERIA</v>
      </c>
      <c r="G14" s="5">
        <v>1350</v>
      </c>
      <c r="I14" s="5">
        <f>COMPRAS[[#This Row],[COSTO UNITARIO]]*COMPRAS[[#This Row],[CANTIDAD]]</f>
        <v>0</v>
      </c>
    </row>
    <row r="15" spans="1:9" x14ac:dyDescent="0.25">
      <c r="A15" s="1" t="s">
        <v>12</v>
      </c>
      <c r="B15" s="7">
        <v>45945</v>
      </c>
      <c r="C15" s="1" t="str">
        <f>TEXT(COMPRAS[[#This Row],[FECHA]],"[$-es-CL]mmmm")</f>
        <v>octubre</v>
      </c>
      <c r="D15" s="1" cm="1">
        <f t="array" ref="D15">YEAR(IF(ISNUMBER(COMPRAS[[#This Row],[FECHA]]),COMPRAS[[#This Row],[FECHA]],FECHA.VALOR(COMPRAS[[#This Row],[FECHA]])))</f>
        <v>2025</v>
      </c>
      <c r="E15" t="str">
        <f>IFERROR(VLOOKUP(COMPRAS[[#This Row],[CODIGO]],INVENTARIO[],2,FALSE),"NO EXISTE")</f>
        <v>DETERGENTE DE BEBÉ 3 LITROS</v>
      </c>
      <c r="F15" s="1" t="str">
        <f>IFERROR(VLOOKUP(COMPRAS[[#This Row],[CODIGO]],INVENTARIO[],3,FALSE),"NO EXISTE")</f>
        <v>LAVANDERIA</v>
      </c>
      <c r="G15" s="5">
        <v>2450</v>
      </c>
      <c r="H15">
        <v>4</v>
      </c>
      <c r="I15" s="5">
        <f>COMPRAS[[#This Row],[COSTO UNITARIO]]*COMPRAS[[#This Row],[CANTIDAD]]</f>
        <v>9800</v>
      </c>
    </row>
    <row r="16" spans="1:9" x14ac:dyDescent="0.25">
      <c r="A16" s="1" t="s">
        <v>13</v>
      </c>
      <c r="B16" s="7">
        <v>45945</v>
      </c>
      <c r="C16" s="1" t="str">
        <f>TEXT(COMPRAS[[#This Row],[FECHA]],"[$-es-CL]mmmm")</f>
        <v>octubre</v>
      </c>
      <c r="D16" s="1" cm="1">
        <f t="array" ref="D16">YEAR(IF(ISNUMBER(COMPRAS[[#This Row],[FECHA]]),COMPRAS[[#This Row],[FECHA]],FECHA.VALOR(COMPRAS[[#This Row],[FECHA]])))</f>
        <v>2025</v>
      </c>
      <c r="E16" t="str">
        <f>IFERROR(VLOOKUP(COMPRAS[[#This Row],[CODIGO]],INVENTARIO[],2,FALSE),"NO EXISTE")</f>
        <v>DETERGENTE OMO PARA DILUIR 3 LITROS</v>
      </c>
      <c r="F16" s="1" t="str">
        <f>IFERROR(VLOOKUP(COMPRAS[[#This Row],[CODIGO]],INVENTARIO[],3,FALSE),"NO EXISTE")</f>
        <v>LAVANDERIA</v>
      </c>
      <c r="G16" s="5">
        <v>981</v>
      </c>
      <c r="H16">
        <v>50</v>
      </c>
      <c r="I16" s="5">
        <f>COMPRAS[[#This Row],[COSTO UNITARIO]]*COMPRAS[[#This Row],[CANTIDAD]]</f>
        <v>49050</v>
      </c>
    </row>
    <row r="17" spans="1:9" x14ac:dyDescent="0.25">
      <c r="A17" s="1" t="s">
        <v>14</v>
      </c>
      <c r="B17" s="7">
        <v>45945</v>
      </c>
      <c r="C17" s="1" t="str">
        <f>TEXT(COMPRAS[[#This Row],[FECHA]],"[$-es-CL]mmmm")</f>
        <v>octubre</v>
      </c>
      <c r="D17" s="1" cm="1">
        <f t="array" ref="D17">YEAR(IF(ISNUMBER(COMPRAS[[#This Row],[FECHA]]),COMPRAS[[#This Row],[FECHA]],FECHA.VALOR(COMPRAS[[#This Row],[FECHA]])))</f>
        <v>2025</v>
      </c>
      <c r="E17" t="str">
        <f>IFERROR(VLOOKUP(COMPRAS[[#This Row],[CODIGO]],INVENTARIO[],2,FALSE),"NO EXISTE")</f>
        <v>DETERGENTE OMO DE 400 ML</v>
      </c>
      <c r="F17" s="1" t="str">
        <f>IFERROR(VLOOKUP(COMPRAS[[#This Row],[CODIGO]],INVENTARIO[],3,FALSE),"NO EXISTE")</f>
        <v>LAVANDERIA</v>
      </c>
      <c r="G17" s="5">
        <v>733</v>
      </c>
      <c r="H17">
        <v>12</v>
      </c>
      <c r="I17" s="5">
        <f>COMPRAS[[#This Row],[COSTO UNITARIO]]*COMPRAS[[#This Row],[CANTIDAD]]</f>
        <v>8796</v>
      </c>
    </row>
    <row r="18" spans="1:9" x14ac:dyDescent="0.25">
      <c r="A18" s="1" t="s">
        <v>15</v>
      </c>
      <c r="B18" s="7">
        <v>45945</v>
      </c>
      <c r="C18" s="1" t="str">
        <f>TEXT(COMPRAS[[#This Row],[FECHA]],"[$-es-CL]mmmm")</f>
        <v>octubre</v>
      </c>
      <c r="D18" s="1" cm="1">
        <f t="array" ref="D18">YEAR(IF(ISNUMBER(COMPRAS[[#This Row],[FECHA]]),COMPRAS[[#This Row],[FECHA]],FECHA.VALOR(COMPRAS[[#This Row],[FECHA]])))</f>
        <v>2025</v>
      </c>
      <c r="E18" t="str">
        <f>IFERROR(VLOOKUP(COMPRAS[[#This Row],[CODIGO]],INVENTARIO[],2,FALSE),"NO EXISTE")</f>
        <v xml:space="preserve">DETERGENTE OMO LIQUIDO BIDÓN 3 LITROS </v>
      </c>
      <c r="F18" s="1" t="str">
        <f>IFERROR(VLOOKUP(COMPRAS[[#This Row],[CODIGO]],INVENTARIO[],3,FALSE),"NO EXISTE")</f>
        <v>LAVANDERIA</v>
      </c>
      <c r="G18" s="5">
        <v>733</v>
      </c>
      <c r="H18">
        <v>24</v>
      </c>
      <c r="I18" s="5">
        <f>COMPRAS[[#This Row],[COSTO UNITARIO]]*COMPRAS[[#This Row],[CANTIDAD]]</f>
        <v>17592</v>
      </c>
    </row>
    <row r="19" spans="1:9" x14ac:dyDescent="0.25">
      <c r="A19" s="1" t="s">
        <v>16</v>
      </c>
      <c r="B19" s="7">
        <v>45945</v>
      </c>
      <c r="C19" s="1" t="str">
        <f>TEXT(COMPRAS[[#This Row],[FECHA]],"[$-es-CL]mmmm")</f>
        <v>octubre</v>
      </c>
      <c r="D19" s="1" cm="1">
        <f t="array" ref="D19">YEAR(IF(ISNUMBER(COMPRAS[[#This Row],[FECHA]]),COMPRAS[[#This Row],[FECHA]],FECHA.VALOR(COMPRAS[[#This Row],[FECHA]])))</f>
        <v>2025</v>
      </c>
      <c r="E19" t="str">
        <f>IFERROR(VLOOKUP(COMPRAS[[#This Row],[CODIGO]],INVENTARIO[],2,FALSE),"NO EXISTE")</f>
        <v>DETERGENTE BIO KLINNING AZUL</v>
      </c>
      <c r="F19" s="1" t="str">
        <f>IFERROR(VLOOKUP(COMPRAS[[#This Row],[CODIGO]],INVENTARIO[],3,FALSE),"NO EXISTE")</f>
        <v>LAVANDERIA</v>
      </c>
      <c r="G19" s="5">
        <v>990</v>
      </c>
      <c r="H19">
        <v>15</v>
      </c>
      <c r="I19" s="5">
        <f>COMPRAS[[#This Row],[COSTO UNITARIO]]*COMPRAS[[#This Row],[CANTIDAD]]</f>
        <v>14850</v>
      </c>
    </row>
    <row r="20" spans="1:9" x14ac:dyDescent="0.25">
      <c r="A20" s="1" t="s">
        <v>17</v>
      </c>
      <c r="B20" s="7">
        <v>45945</v>
      </c>
      <c r="C20" s="1" t="str">
        <f>TEXT(COMPRAS[[#This Row],[FECHA]],"[$-es-CL]mmmm")</f>
        <v>octubre</v>
      </c>
      <c r="D20" s="1" cm="1">
        <f t="array" ref="D20">YEAR(IF(ISNUMBER(COMPRAS[[#This Row],[FECHA]]),COMPRAS[[#This Row],[FECHA]],FECHA.VALOR(COMPRAS[[#This Row],[FECHA]])))</f>
        <v>2025</v>
      </c>
      <c r="E20" t="str">
        <f>IFERROR(VLOOKUP(COMPRAS[[#This Row],[CODIGO]],INVENTARIO[],2,FALSE),"NO EXISTE")</f>
        <v>DETERGENTE BIO KLINNING VERDE</v>
      </c>
      <c r="F20" s="1" t="str">
        <f>IFERROR(VLOOKUP(COMPRAS[[#This Row],[CODIGO]],INVENTARIO[],3,FALSE),"NO EXISTE")</f>
        <v>LAVANDERIA</v>
      </c>
      <c r="G20" s="5">
        <v>720</v>
      </c>
      <c r="H20">
        <v>10</v>
      </c>
      <c r="I20" s="5">
        <f>COMPRAS[[#This Row],[COSTO UNITARIO]]*COMPRAS[[#This Row],[CANTIDAD]]</f>
        <v>7200</v>
      </c>
    </row>
    <row r="21" spans="1:9" x14ac:dyDescent="0.25">
      <c r="A21" s="1" t="s">
        <v>18</v>
      </c>
      <c r="B21" s="7">
        <v>45945</v>
      </c>
      <c r="C21" s="1" t="str">
        <f>TEXT(COMPRAS[[#This Row],[FECHA]],"[$-es-CL]mmmm")</f>
        <v>octubre</v>
      </c>
      <c r="D21" s="1" cm="1">
        <f t="array" ref="D21">YEAR(IF(ISNUMBER(COMPRAS[[#This Row],[FECHA]]),COMPRAS[[#This Row],[FECHA]],FECHA.VALOR(COMPRAS[[#This Row],[FECHA]])))</f>
        <v>2025</v>
      </c>
      <c r="E21" t="str">
        <f>IFERROR(VLOOKUP(COMPRAS[[#This Row],[CODIGO]],INVENTARIO[],2,FALSE),"NO EXISTE")</f>
        <v>DETERGENTE SOFT LIQUIDO BIDÓN DE 3 LITROS</v>
      </c>
      <c r="F21" s="1" t="str">
        <f>IFERROR(VLOOKUP(COMPRAS[[#This Row],[CODIGO]],INVENTARIO[],3,FALSE),"NO EXISTE")</f>
        <v>LAVANDERIA</v>
      </c>
      <c r="G21" s="5">
        <v>833</v>
      </c>
      <c r="H21">
        <v>9</v>
      </c>
      <c r="I21" s="5">
        <f>COMPRAS[[#This Row],[COSTO UNITARIO]]*COMPRAS[[#This Row],[CANTIDAD]]</f>
        <v>7497</v>
      </c>
    </row>
    <row r="22" spans="1:9" x14ac:dyDescent="0.25">
      <c r="A22" s="1" t="s">
        <v>19</v>
      </c>
      <c r="B22" s="7">
        <v>45945</v>
      </c>
      <c r="C22" s="1" t="str">
        <f>TEXT(COMPRAS[[#This Row],[FECHA]],"[$-es-CL]mmmm")</f>
        <v>octubre</v>
      </c>
      <c r="D22" s="1" cm="1">
        <f t="array" ref="D22">YEAR(IF(ISNUMBER(COMPRAS[[#This Row],[FECHA]]),COMPRAS[[#This Row],[FECHA]],FECHA.VALOR(COMPRAS[[#This Row],[FECHA]])))</f>
        <v>2025</v>
      </c>
      <c r="E22" t="str">
        <f>IFERROR(VLOOKUP(COMPRAS[[#This Row],[CODIGO]],INVENTARIO[],2,FALSE),"NO EXISTE")</f>
        <v>DETERGENTE EN POLVO QUITA MANCHA ROSADO</v>
      </c>
      <c r="F22" s="1" t="str">
        <f>IFERROR(VLOOKUP(COMPRAS[[#This Row],[CODIGO]],INVENTARIO[],3,FALSE),"NO EXISTE")</f>
        <v>LAVANDERIA</v>
      </c>
      <c r="G22" s="5">
        <v>1010</v>
      </c>
      <c r="H22">
        <v>10</v>
      </c>
      <c r="I22" s="5">
        <f>COMPRAS[[#This Row],[COSTO UNITARIO]]*COMPRAS[[#This Row],[CANTIDAD]]</f>
        <v>10100</v>
      </c>
    </row>
    <row r="23" spans="1:9" x14ac:dyDescent="0.25">
      <c r="A23" s="1" t="s">
        <v>20</v>
      </c>
      <c r="B23" s="7">
        <v>45945</v>
      </c>
      <c r="C23" s="1" t="str">
        <f>TEXT(COMPRAS[[#This Row],[FECHA]],"[$-es-CL]mmmm")</f>
        <v>octubre</v>
      </c>
      <c r="D23" s="1" cm="1">
        <f t="array" ref="D23">YEAR(IF(ISNUMBER(COMPRAS[[#This Row],[FECHA]]),COMPRAS[[#This Row],[FECHA]],FECHA.VALOR(COMPRAS[[#This Row],[FECHA]])))</f>
        <v>2025</v>
      </c>
      <c r="E23" t="str">
        <f>IFERROR(VLOOKUP(COMPRAS[[#This Row],[CODIGO]],INVENTARIO[],2,FALSE),"NO EXISTE")</f>
        <v>DETERGENTE EN POLVO QUITA MANCHA MORADO</v>
      </c>
      <c r="F23" s="1" t="str">
        <f>IFERROR(VLOOKUP(COMPRAS[[#This Row],[CODIGO]],INVENTARIO[],3,FALSE),"NO EXISTE")</f>
        <v>LAVANDERIA</v>
      </c>
      <c r="G23" s="5">
        <v>1333</v>
      </c>
      <c r="H23">
        <v>9</v>
      </c>
      <c r="I23" s="5">
        <f>COMPRAS[[#This Row],[COSTO UNITARIO]]*COMPRAS[[#This Row],[CANTIDAD]]</f>
        <v>11997</v>
      </c>
    </row>
    <row r="24" spans="1:9" x14ac:dyDescent="0.25">
      <c r="A24" s="1" t="s">
        <v>21</v>
      </c>
      <c r="B24" s="7">
        <v>45945</v>
      </c>
      <c r="C24" s="1" t="str">
        <f>TEXT(COMPRAS[[#This Row],[FECHA]],"[$-es-CL]mmmm")</f>
        <v>octubre</v>
      </c>
      <c r="D24" s="1" cm="1">
        <f t="array" ref="D24">YEAR(IF(ISNUMBER(COMPRAS[[#This Row],[FECHA]]),COMPRAS[[#This Row],[FECHA]],FECHA.VALOR(COMPRAS[[#This Row],[FECHA]])))</f>
        <v>2025</v>
      </c>
      <c r="E24" t="str">
        <f>IFERROR(VLOOKUP(COMPRAS[[#This Row],[CODIGO]],INVENTARIO[],2,FALSE),"NO EXISTE")</f>
        <v>DETERGENTE EN POLVO VIRGINIA</v>
      </c>
      <c r="F24" s="1" t="str">
        <f>IFERROR(VLOOKUP(COMPRAS[[#This Row],[CODIGO]],INVENTARIO[],3,FALSE),"NO EXISTE")</f>
        <v>LAVANDERIA</v>
      </c>
      <c r="G24" s="5">
        <v>990</v>
      </c>
      <c r="H24">
        <v>9</v>
      </c>
      <c r="I24" s="5">
        <f>COMPRAS[[#This Row],[COSTO UNITARIO]]*COMPRAS[[#This Row],[CANTIDAD]]</f>
        <v>8910</v>
      </c>
    </row>
    <row r="25" spans="1:9" x14ac:dyDescent="0.25">
      <c r="A25" s="1" t="s">
        <v>22</v>
      </c>
      <c r="B25" s="7">
        <v>45945</v>
      </c>
      <c r="C25" s="1" t="str">
        <f>TEXT(COMPRAS[[#This Row],[FECHA]],"[$-es-CL]mmmm")</f>
        <v>octubre</v>
      </c>
      <c r="D25" s="1" cm="1">
        <f t="array" ref="D25">YEAR(IF(ISNUMBER(COMPRAS[[#This Row],[FECHA]]),COMPRAS[[#This Row],[FECHA]],FECHA.VALOR(COMPRAS[[#This Row],[FECHA]])))</f>
        <v>2025</v>
      </c>
      <c r="E25" t="str">
        <f>IFERROR(VLOOKUP(COMPRAS[[#This Row],[CODIGO]],INVENTARIO[],2,FALSE),"NO EXISTE")</f>
        <v>CLORO ROPA BLANCA SPUM DE 1 LITRO</v>
      </c>
      <c r="F25" s="1" t="str">
        <f>IFERROR(VLOOKUP(COMPRAS[[#This Row],[CODIGO]],INVENTARIO[],3,FALSE),"NO EXISTE")</f>
        <v>LAVANDERIA</v>
      </c>
      <c r="G25" s="5">
        <v>1049</v>
      </c>
      <c r="H25">
        <v>10</v>
      </c>
      <c r="I25" s="5">
        <f>COMPRAS[[#This Row],[COSTO UNITARIO]]*COMPRAS[[#This Row],[CANTIDAD]]</f>
        <v>10490</v>
      </c>
    </row>
    <row r="26" spans="1:9" x14ac:dyDescent="0.25">
      <c r="A26" s="1" t="s">
        <v>23</v>
      </c>
      <c r="B26" s="7">
        <v>45945</v>
      </c>
      <c r="C26" s="1" t="str">
        <f>TEXT(COMPRAS[[#This Row],[FECHA]],"[$-es-CL]mmmm")</f>
        <v>octubre</v>
      </c>
      <c r="D26" s="1" cm="1">
        <f t="array" ref="D26">YEAR(IF(ISNUMBER(COMPRAS[[#This Row],[FECHA]]),COMPRAS[[#This Row],[FECHA]],FECHA.VALOR(COMPRAS[[#This Row],[FECHA]])))</f>
        <v>2025</v>
      </c>
      <c r="E26" t="str">
        <f>IFERROR(VLOOKUP(COMPRAS[[#This Row],[CODIGO]],INVENTARIO[],2,FALSE),"NO EXISTE")</f>
        <v>CLORO ROPA A COLOR SPUM DE 1 LITRO</v>
      </c>
      <c r="F26" s="1" t="str">
        <f>IFERROR(VLOOKUP(COMPRAS[[#This Row],[CODIGO]],INVENTARIO[],3,FALSE),"NO EXISTE")</f>
        <v>LAVANDERIA</v>
      </c>
      <c r="G26" s="5"/>
      <c r="I26" s="5">
        <f>COMPRAS[[#This Row],[COSTO UNITARIO]]*COMPRAS[[#This Row],[CANTIDAD]]</f>
        <v>0</v>
      </c>
    </row>
    <row r="27" spans="1:9" x14ac:dyDescent="0.25">
      <c r="A27" s="1" t="s">
        <v>24</v>
      </c>
      <c r="B27" s="7">
        <v>45945</v>
      </c>
      <c r="C27" s="1" t="str">
        <f>TEXT(COMPRAS[[#This Row],[FECHA]],"[$-es-CL]mmmm")</f>
        <v>octubre</v>
      </c>
      <c r="D27" s="1" cm="1">
        <f t="array" ref="D27">YEAR(IF(ISNUMBER(COMPRAS[[#This Row],[FECHA]]),COMPRAS[[#This Row],[FECHA]],FECHA.VALOR(COMPRAS[[#This Row],[FECHA]])))</f>
        <v>2025</v>
      </c>
      <c r="E27" t="str">
        <f>IFERROR(VLOOKUP(COMPRAS[[#This Row],[CODIGO]],INVENTARIO[],2,FALSE),"NO EXISTE")</f>
        <v xml:space="preserve">VANISH BLANCO </v>
      </c>
      <c r="F27" s="1" t="str">
        <f>IFERROR(VLOOKUP(COMPRAS[[#This Row],[CODIGO]],INVENTARIO[],3,FALSE),"NO EXISTE")</f>
        <v>LAVANDERIA</v>
      </c>
      <c r="G27" s="5">
        <v>700</v>
      </c>
      <c r="H27">
        <v>12</v>
      </c>
      <c r="I27" s="5">
        <f>COMPRAS[[#This Row],[COSTO UNITARIO]]*COMPRAS[[#This Row],[CANTIDAD]]</f>
        <v>8400</v>
      </c>
    </row>
    <row r="28" spans="1:9" x14ac:dyDescent="0.25">
      <c r="A28" s="1" t="s">
        <v>25</v>
      </c>
      <c r="B28" s="7">
        <v>45945</v>
      </c>
      <c r="C28" s="1" t="str">
        <f>TEXT(COMPRAS[[#This Row],[FECHA]],"[$-es-CL]mmmm")</f>
        <v>octubre</v>
      </c>
      <c r="D28" s="1" cm="1">
        <f t="array" ref="D28">YEAR(IF(ISNUMBER(COMPRAS[[#This Row],[FECHA]]),COMPRAS[[#This Row],[FECHA]],FECHA.VALOR(COMPRAS[[#This Row],[FECHA]])))</f>
        <v>2025</v>
      </c>
      <c r="E28" t="str">
        <f>IFERROR(VLOOKUP(COMPRAS[[#This Row],[CODIGO]],INVENTARIO[],2,FALSE),"NO EXISTE")</f>
        <v>VANISH ROSADO</v>
      </c>
      <c r="F28" s="1" t="str">
        <f>IFERROR(VLOOKUP(COMPRAS[[#This Row],[CODIGO]],INVENTARIO[],3,FALSE),"NO EXISTE")</f>
        <v>LAVANDERIA</v>
      </c>
      <c r="G28" s="5">
        <v>1110</v>
      </c>
      <c r="H28">
        <v>9</v>
      </c>
      <c r="I28" s="5">
        <f>COMPRAS[[#This Row],[COSTO UNITARIO]]*COMPRAS[[#This Row],[CANTIDAD]]</f>
        <v>9990</v>
      </c>
    </row>
    <row r="29" spans="1:9" x14ac:dyDescent="0.25">
      <c r="A29" s="1" t="s">
        <v>26</v>
      </c>
      <c r="B29" s="7">
        <v>45945</v>
      </c>
      <c r="C29" s="1" t="str">
        <f>TEXT(COMPRAS[[#This Row],[FECHA]],"[$-es-CL]mmmm")</f>
        <v>octubre</v>
      </c>
      <c r="D29" s="1" cm="1">
        <f t="array" ref="D29">YEAR(IF(ISNUMBER(COMPRAS[[#This Row],[FECHA]]),COMPRAS[[#This Row],[FECHA]],FECHA.VALOR(COMPRAS[[#This Row],[FECHA]])))</f>
        <v>2025</v>
      </c>
      <c r="E29" t="str">
        <f>IFERROR(VLOOKUP(COMPRAS[[#This Row],[CODIGO]],INVENTARIO[],2,FALSE),"NO EXISTE")</f>
        <v>CLORO CONCENTRADO DE 5 LITROS</v>
      </c>
      <c r="F29" s="1" t="str">
        <f>IFERROR(VLOOKUP(COMPRAS[[#This Row],[CODIGO]],INVENTARIO[],3,FALSE),"NO EXISTE")</f>
        <v>DESINFECCIÓN</v>
      </c>
      <c r="G29" s="5">
        <v>1000</v>
      </c>
      <c r="H29">
        <v>10</v>
      </c>
      <c r="I29" s="5">
        <f>COMPRAS[[#This Row],[COSTO UNITARIO]]*COMPRAS[[#This Row],[CANTIDAD]]</f>
        <v>10000</v>
      </c>
    </row>
    <row r="30" spans="1:9" x14ac:dyDescent="0.25">
      <c r="A30" s="1" t="s">
        <v>27</v>
      </c>
      <c r="B30" s="7">
        <v>45945</v>
      </c>
      <c r="C30" s="1" t="str">
        <f>TEXT(COMPRAS[[#This Row],[FECHA]],"[$-es-CL]mmmm")</f>
        <v>octubre</v>
      </c>
      <c r="D30" s="1" cm="1">
        <f t="array" ref="D30">YEAR(IF(ISNUMBER(COMPRAS[[#This Row],[FECHA]]),COMPRAS[[#This Row],[FECHA]],FECHA.VALOR(COMPRAS[[#This Row],[FECHA]])))</f>
        <v>2025</v>
      </c>
      <c r="E30" t="str">
        <f>IFERROR(VLOOKUP(COMPRAS[[#This Row],[CODIGO]],INVENTARIO[],2,FALSE),"NO EXISTE")</f>
        <v>CLORINDA DE 1 LITRO</v>
      </c>
      <c r="F30" s="1" t="str">
        <f>IFERROR(VLOOKUP(COMPRAS[[#This Row],[CODIGO]],INVENTARIO[],3,FALSE),"NO EXISTE")</f>
        <v>DESINFECCIÓN</v>
      </c>
      <c r="G30" s="5">
        <v>667</v>
      </c>
      <c r="H30">
        <v>12</v>
      </c>
      <c r="I30" s="5">
        <f>COMPRAS[[#This Row],[COSTO UNITARIO]]*COMPRAS[[#This Row],[CANTIDAD]]</f>
        <v>8004</v>
      </c>
    </row>
    <row r="31" spans="1:9" x14ac:dyDescent="0.25">
      <c r="A31" s="1" t="s">
        <v>28</v>
      </c>
      <c r="B31" s="7">
        <v>45945</v>
      </c>
      <c r="C31" s="1" t="str">
        <f>TEXT(COMPRAS[[#This Row],[FECHA]],"[$-es-CL]mmmm")</f>
        <v>octubre</v>
      </c>
      <c r="D31" s="1" cm="1">
        <f t="array" ref="D31">YEAR(IF(ISNUMBER(COMPRAS[[#This Row],[FECHA]]),COMPRAS[[#This Row],[FECHA]],FECHA.VALOR(COMPRAS[[#This Row],[FECHA]])))</f>
        <v>2025</v>
      </c>
      <c r="E31" t="str">
        <f>IFERROR(VLOOKUP(COMPRAS[[#This Row],[CODIGO]],INVENTARIO[],2,FALSE),"NO EXISTE")</f>
        <v>CLORO GEL CLOROX</v>
      </c>
      <c r="F31" s="1" t="str">
        <f>IFERROR(VLOOKUP(COMPRAS[[#This Row],[CODIGO]],INVENTARIO[],3,FALSE),"NO EXISTE")</f>
        <v>DESINFECCIÓN</v>
      </c>
      <c r="G31" s="5">
        <v>666</v>
      </c>
      <c r="H31">
        <v>9</v>
      </c>
      <c r="I31" s="5">
        <f>COMPRAS[[#This Row],[COSTO UNITARIO]]*COMPRAS[[#This Row],[CANTIDAD]]</f>
        <v>5994</v>
      </c>
    </row>
    <row r="32" spans="1:9" x14ac:dyDescent="0.25">
      <c r="A32" s="1" t="s">
        <v>29</v>
      </c>
      <c r="B32" s="7">
        <v>45945</v>
      </c>
      <c r="C32" s="1" t="str">
        <f>TEXT(COMPRAS[[#This Row],[FECHA]],"[$-es-CL]mmmm")</f>
        <v>octubre</v>
      </c>
      <c r="D32" s="1" cm="1">
        <f t="array" ref="D32">YEAR(IF(ISNUMBER(COMPRAS[[#This Row],[FECHA]]),COMPRAS[[#This Row],[FECHA]],FECHA.VALOR(COMPRAS[[#This Row],[FECHA]])))</f>
        <v>2025</v>
      </c>
      <c r="E32" t="str">
        <f>IFERROR(VLOOKUP(COMPRAS[[#This Row],[CODIGO]],INVENTARIO[],2,FALSE),"NO EXISTE")</f>
        <v>CLORO IGENIX LIQUIDO</v>
      </c>
      <c r="F32" s="1" t="str">
        <f>IFERROR(VLOOKUP(COMPRAS[[#This Row],[CODIGO]],INVENTARIO[],3,FALSE),"NO EXISTE")</f>
        <v>DESINFECCIÓN</v>
      </c>
      <c r="G32" s="5">
        <v>599</v>
      </c>
      <c r="H32">
        <v>12</v>
      </c>
      <c r="I32" s="5">
        <f>COMPRAS[[#This Row],[COSTO UNITARIO]]*COMPRAS[[#This Row],[CANTIDAD]]</f>
        <v>7188</v>
      </c>
    </row>
    <row r="33" spans="1:9" x14ac:dyDescent="0.25">
      <c r="A33" s="1" t="s">
        <v>47</v>
      </c>
      <c r="B33" s="7">
        <v>45945</v>
      </c>
      <c r="C33" s="1" t="str">
        <f>TEXT(COMPRAS[[#This Row],[FECHA]],"[$-es-CL]mmmm")</f>
        <v>octubre</v>
      </c>
      <c r="D33" s="1" cm="1">
        <f t="array" ref="D33">YEAR(IF(ISNUMBER(COMPRAS[[#This Row],[FECHA]]),COMPRAS[[#This Row],[FECHA]],FECHA.VALOR(COMPRAS[[#This Row],[FECHA]])))</f>
        <v>2025</v>
      </c>
      <c r="E33" t="str">
        <f>IFERROR(VLOOKUP(COMPRAS[[#This Row],[CODIGO]],INVENTARIO[],2,FALSE),"NO EXISTE")</f>
        <v>CLORINDA CLORO GEL</v>
      </c>
      <c r="F33" s="1" t="str">
        <f>IFERROR(VLOOKUP(COMPRAS[[#This Row],[CODIGO]],INVENTARIO[],3,FALSE),"NO EXISTE")</f>
        <v>DESINFECCIÓN</v>
      </c>
      <c r="G33" s="5">
        <v>599</v>
      </c>
      <c r="H33">
        <v>12</v>
      </c>
      <c r="I33" s="5">
        <f>COMPRAS[[#This Row],[COSTO UNITARIO]]*COMPRAS[[#This Row],[CANTIDAD]]</f>
        <v>7188</v>
      </c>
    </row>
    <row r="34" spans="1:9" x14ac:dyDescent="0.25">
      <c r="A34" s="1" t="s">
        <v>48</v>
      </c>
      <c r="B34" s="7">
        <v>45945</v>
      </c>
      <c r="C34" s="1" t="str">
        <f>TEXT(COMPRAS[[#This Row],[FECHA]],"[$-es-CL]mmmm")</f>
        <v>octubre</v>
      </c>
      <c r="D34" s="1" cm="1">
        <f t="array" ref="D34">YEAR(IF(ISNUMBER(COMPRAS[[#This Row],[FECHA]]),COMPRAS[[#This Row],[FECHA]],FECHA.VALOR(COMPRAS[[#This Row],[FECHA]])))</f>
        <v>2025</v>
      </c>
      <c r="E34" t="str">
        <f>IFERROR(VLOOKUP(COMPRAS[[#This Row],[CODIGO]],INVENTARIO[],2,FALSE),"NO EXISTE")</f>
        <v>CLORINDA CLORO GEL EXCEL MORADO</v>
      </c>
      <c r="F34" s="1" t="str">
        <f>IFERROR(VLOOKUP(COMPRAS[[#This Row],[CODIGO]],INVENTARIO[],3,FALSE),"NO EXISTE")</f>
        <v>DESINFECCIÓN</v>
      </c>
      <c r="G34" s="5">
        <v>833</v>
      </c>
      <c r="H34">
        <v>12</v>
      </c>
      <c r="I34" s="5">
        <f>COMPRAS[[#This Row],[COSTO UNITARIO]]*COMPRAS[[#This Row],[CANTIDAD]]</f>
        <v>9996</v>
      </c>
    </row>
    <row r="35" spans="1:9" x14ac:dyDescent="0.25">
      <c r="A35" s="1" t="s">
        <v>49</v>
      </c>
      <c r="B35" s="7">
        <v>45945</v>
      </c>
      <c r="C35" s="1" t="str">
        <f>TEXT(COMPRAS[[#This Row],[FECHA]],"[$-es-CL]mmmm")</f>
        <v>octubre</v>
      </c>
      <c r="D35" s="1" cm="1">
        <f t="array" ref="D35">YEAR(IF(ISNUMBER(COMPRAS[[#This Row],[FECHA]]),COMPRAS[[#This Row],[FECHA]],FECHA.VALOR(COMPRAS[[#This Row],[FECHA]])))</f>
        <v>2025</v>
      </c>
      <c r="E35" t="str">
        <f>IFERROR(VLOOKUP(COMPRAS[[#This Row],[CODIGO]],INVENTARIO[],2,FALSE),"NO EXISTE")</f>
        <v>CLORINDA CLORO GEL EXCEL AMARILLO</v>
      </c>
      <c r="F35" s="1" t="str">
        <f>IFERROR(VLOOKUP(COMPRAS[[#This Row],[CODIGO]],INVENTARIO[],3,FALSE),"NO EXISTE")</f>
        <v>DESINFECCIÓN</v>
      </c>
      <c r="G35" s="5">
        <v>1443</v>
      </c>
      <c r="H35">
        <v>9</v>
      </c>
      <c r="I35" s="5">
        <f>COMPRAS[[#This Row],[COSTO UNITARIO]]*COMPRAS[[#This Row],[CANTIDAD]]</f>
        <v>12987</v>
      </c>
    </row>
    <row r="36" spans="1:9" x14ac:dyDescent="0.25">
      <c r="A36" s="1" t="s">
        <v>50</v>
      </c>
      <c r="B36" s="7">
        <v>45945</v>
      </c>
      <c r="C36" s="1" t="str">
        <f>TEXT(COMPRAS[[#This Row],[FECHA]],"[$-es-CL]mmmm")</f>
        <v>octubre</v>
      </c>
      <c r="D36" s="1" cm="1">
        <f t="array" ref="D36">YEAR(IF(ISNUMBER(COMPRAS[[#This Row],[FECHA]]),COMPRAS[[#This Row],[FECHA]],FECHA.VALOR(COMPRAS[[#This Row],[FECHA]])))</f>
        <v>2025</v>
      </c>
      <c r="E36" t="str">
        <f>IFERROR(VLOOKUP(COMPRAS[[#This Row],[CODIGO]],INVENTARIO[],2,FALSE),"NO EXISTE")</f>
        <v>ANTIGRASA SPUM DE 2 LITROS</v>
      </c>
      <c r="F36" s="1" t="str">
        <f>IFERROR(VLOOKUP(COMPRAS[[#This Row],[CODIGO]],INVENTARIO[],3,FALSE),"NO EXISTE")</f>
        <v>COCINA</v>
      </c>
      <c r="G36" s="5">
        <v>698</v>
      </c>
      <c r="H36">
        <v>5</v>
      </c>
      <c r="I36" s="5">
        <f>COMPRAS[[#This Row],[COSTO UNITARIO]]*COMPRAS[[#This Row],[CANTIDAD]]</f>
        <v>3490</v>
      </c>
    </row>
    <row r="37" spans="1:9" x14ac:dyDescent="0.25">
      <c r="A37" s="1" t="s">
        <v>51</v>
      </c>
      <c r="B37" s="7">
        <v>45945</v>
      </c>
      <c r="C37" s="1" t="str">
        <f>TEXT(COMPRAS[[#This Row],[FECHA]],"[$-es-CL]mmmm")</f>
        <v>octubre</v>
      </c>
      <c r="D37" s="1" cm="1">
        <f t="array" ref="D37">YEAR(IF(ISNUMBER(COMPRAS[[#This Row],[FECHA]]),COMPRAS[[#This Row],[FECHA]],FECHA.VALOR(COMPRAS[[#This Row],[FECHA]])))</f>
        <v>2025</v>
      </c>
      <c r="E37" t="str">
        <f>IFERROR(VLOOKUP(COMPRAS[[#This Row],[CODIGO]],INVENTARIO[],2,FALSE),"NO EXISTE")</f>
        <v>ANTIGRASA SPUM DE 500 ML</v>
      </c>
      <c r="F37" s="1" t="str">
        <f>IFERROR(VLOOKUP(COMPRAS[[#This Row],[CODIGO]],INVENTARIO[],3,FALSE),"NO EXISTE")</f>
        <v>COCINA</v>
      </c>
      <c r="G37" s="5">
        <v>700</v>
      </c>
      <c r="H37">
        <v>12</v>
      </c>
      <c r="I37" s="5">
        <f>COMPRAS[[#This Row],[COSTO UNITARIO]]*COMPRAS[[#This Row],[CANTIDAD]]</f>
        <v>8400</v>
      </c>
    </row>
    <row r="38" spans="1:9" x14ac:dyDescent="0.25">
      <c r="A38" s="1" t="s">
        <v>53</v>
      </c>
      <c r="B38" s="7">
        <v>45945</v>
      </c>
      <c r="C38" s="1" t="str">
        <f>TEXT(COMPRAS[[#This Row],[FECHA]],"[$-es-CL]mmmm")</f>
        <v>octubre</v>
      </c>
      <c r="D38" s="1" cm="1">
        <f t="array" ref="D38">YEAR(IF(ISNUMBER(COMPRAS[[#This Row],[FECHA]]),COMPRAS[[#This Row],[FECHA]],FECHA.VALOR(COMPRAS[[#This Row],[FECHA]])))</f>
        <v>2025</v>
      </c>
      <c r="E38" t="str">
        <f>IFERROR(VLOOKUP(COMPRAS[[#This Row],[CODIGO]],INVENTARIO[],2,FALSE),"NO EXISTE")</f>
        <v>SACASARRO SPUM DE 2 LITROS</v>
      </c>
      <c r="F38" s="1" t="str">
        <f>IFERROR(VLOOKUP(COMPRAS[[#This Row],[CODIGO]],INVENTARIO[],3,FALSE),"NO EXISTE")</f>
        <v>COCINA</v>
      </c>
      <c r="G38" s="5">
        <v>1790</v>
      </c>
      <c r="H38">
        <v>6</v>
      </c>
      <c r="I38" s="5">
        <f>COMPRAS[[#This Row],[COSTO UNITARIO]]*COMPRAS[[#This Row],[CANTIDAD]]</f>
        <v>10740</v>
      </c>
    </row>
    <row r="39" spans="1:9" x14ac:dyDescent="0.25">
      <c r="A39" s="1" t="s">
        <v>54</v>
      </c>
      <c r="B39" s="7">
        <v>45945</v>
      </c>
      <c r="C39" s="1" t="str">
        <f>TEXT(COMPRAS[[#This Row],[FECHA]],"[$-es-CL]mmmm")</f>
        <v>octubre</v>
      </c>
      <c r="D39" s="1" cm="1">
        <f t="array" ref="D39">YEAR(IF(ISNUMBER(COMPRAS[[#This Row],[FECHA]]),COMPRAS[[#This Row],[FECHA]],FECHA.VALOR(COMPRAS[[#This Row],[FECHA]])))</f>
        <v>2025</v>
      </c>
      <c r="E39" t="str">
        <f>IFERROR(VLOOKUP(COMPRAS[[#This Row],[CODIGO]],INVENTARIO[],2,FALSE),"NO EXISTE")</f>
        <v>SACASARRO SPUM DE 500 ML</v>
      </c>
      <c r="F39" s="1" t="str">
        <f>IFERROR(VLOOKUP(COMPRAS[[#This Row],[CODIGO]],INVENTARIO[],3,FALSE),"NO EXISTE")</f>
        <v>COCINA</v>
      </c>
      <c r="G39" s="5">
        <v>1790</v>
      </c>
      <c r="H39">
        <v>6</v>
      </c>
      <c r="I39" s="5">
        <f>COMPRAS[[#This Row],[COSTO UNITARIO]]*COMPRAS[[#This Row],[CANTIDAD]]</f>
        <v>10740</v>
      </c>
    </row>
    <row r="40" spans="1:9" x14ac:dyDescent="0.25">
      <c r="A40" s="1" t="s">
        <v>55</v>
      </c>
      <c r="B40" s="7">
        <v>45945</v>
      </c>
      <c r="C40" s="1" t="str">
        <f>TEXT(COMPRAS[[#This Row],[FECHA]],"[$-es-CL]mmmm")</f>
        <v>octubre</v>
      </c>
      <c r="D40" s="1" cm="1">
        <f t="array" ref="D40">YEAR(IF(ISNUMBER(COMPRAS[[#This Row],[FECHA]]),COMPRAS[[#This Row],[FECHA]],FECHA.VALOR(COMPRAS[[#This Row],[FECHA]])))</f>
        <v>2025</v>
      </c>
      <c r="E40" t="str">
        <f>IFERROR(VLOOKUP(COMPRAS[[#This Row],[CODIGO]],INVENTARIO[],2,FALSE),"NO EXISTE")</f>
        <v>LAVALOSA SPUM DE 1 LITRO</v>
      </c>
      <c r="F40" s="1" t="str">
        <f>IFERROR(VLOOKUP(COMPRAS[[#This Row],[CODIGO]],INVENTARIO[],3,FALSE),"NO EXISTE")</f>
        <v>COCINA</v>
      </c>
      <c r="G40" s="5">
        <v>550</v>
      </c>
      <c r="H40">
        <v>50</v>
      </c>
      <c r="I40" s="5">
        <f>COMPRAS[[#This Row],[COSTO UNITARIO]]*COMPRAS[[#This Row],[CANTIDAD]]</f>
        <v>27500</v>
      </c>
    </row>
    <row r="41" spans="1:9" x14ac:dyDescent="0.25">
      <c r="A41" s="1" t="s">
        <v>56</v>
      </c>
      <c r="B41" s="7">
        <v>45945</v>
      </c>
      <c r="C41" s="1" t="str">
        <f>TEXT(COMPRAS[[#This Row],[FECHA]],"[$-es-CL]mmmm")</f>
        <v>octubre</v>
      </c>
      <c r="D41" s="1" cm="1">
        <f t="array" ref="D41">YEAR(IF(ISNUMBER(COMPRAS[[#This Row],[FECHA]]),COMPRAS[[#This Row],[FECHA]],FECHA.VALOR(COMPRAS[[#This Row],[FECHA]])))</f>
        <v>2025</v>
      </c>
      <c r="E41" t="str">
        <f>IFERROR(VLOOKUP(COMPRAS[[#This Row],[CODIGO]],INVENTARIO[],2,FALSE),"NO EXISTE")</f>
        <v>LAVALOSA SPUM DE 2 LITROS</v>
      </c>
      <c r="F41" s="1" t="str">
        <f>IFERROR(VLOOKUP(COMPRAS[[#This Row],[CODIGO]],INVENTARIO[],3,FALSE),"NO EXISTE")</f>
        <v>COCINA</v>
      </c>
      <c r="G41" s="5">
        <v>1320</v>
      </c>
      <c r="H41">
        <v>12</v>
      </c>
      <c r="I41" s="5">
        <f>COMPRAS[[#This Row],[COSTO UNITARIO]]*COMPRAS[[#This Row],[CANTIDAD]]</f>
        <v>15840</v>
      </c>
    </row>
    <row r="42" spans="1:9" x14ac:dyDescent="0.25">
      <c r="A42" s="1" t="s">
        <v>57</v>
      </c>
      <c r="B42" s="7">
        <v>45945</v>
      </c>
      <c r="C42" s="1" t="str">
        <f>TEXT(COMPRAS[[#This Row],[FECHA]],"[$-es-CL]mmmm")</f>
        <v>octubre</v>
      </c>
      <c r="D42" s="1" cm="1">
        <f t="array" ref="D42">YEAR(IF(ISNUMBER(COMPRAS[[#This Row],[FECHA]]),COMPRAS[[#This Row],[FECHA]],FECHA.VALOR(COMPRAS[[#This Row],[FECHA]])))</f>
        <v>2025</v>
      </c>
      <c r="E42" t="str">
        <f>IFERROR(VLOOKUP(COMPRAS[[#This Row],[CODIGO]],INVENTARIO[],2,FALSE),"NO EXISTE")</f>
        <v>LAVALOSA SPUM DE 5 LITROS</v>
      </c>
      <c r="F42" s="1" t="str">
        <f>IFERROR(VLOOKUP(COMPRAS[[#This Row],[CODIGO]],INVENTARIO[],3,FALSE),"NO EXISTE")</f>
        <v>COCINA</v>
      </c>
      <c r="G42" s="5">
        <v>590</v>
      </c>
      <c r="H42">
        <v>36</v>
      </c>
      <c r="I42" s="5">
        <f>COMPRAS[[#This Row],[COSTO UNITARIO]]*COMPRAS[[#This Row],[CANTIDAD]]</f>
        <v>21240</v>
      </c>
    </row>
    <row r="43" spans="1:9" x14ac:dyDescent="0.25">
      <c r="A43" s="1" t="s">
        <v>58</v>
      </c>
      <c r="B43" s="7">
        <v>45945</v>
      </c>
      <c r="C43" s="1" t="str">
        <f>TEXT(COMPRAS[[#This Row],[FECHA]],"[$-es-CL]mmmm")</f>
        <v>octubre</v>
      </c>
      <c r="D43" s="1" cm="1">
        <f t="array" ref="D43">YEAR(IF(ISNUMBER(COMPRAS[[#This Row],[FECHA]]),COMPRAS[[#This Row],[FECHA]],FECHA.VALOR(COMPRAS[[#This Row],[FECHA]])))</f>
        <v>2025</v>
      </c>
      <c r="E43" t="str">
        <f>IFERROR(VLOOKUP(COMPRAS[[#This Row],[CODIGO]],INVENTARIO[],2,FALSE),"NO EXISTE")</f>
        <v>LAVALOSA QUIX</v>
      </c>
      <c r="F43" s="1" t="str">
        <f>IFERROR(VLOOKUP(COMPRAS[[#This Row],[CODIGO]],INVENTARIO[],3,FALSE),"NO EXISTE")</f>
        <v>COCINA</v>
      </c>
      <c r="G43" s="5">
        <v>750</v>
      </c>
      <c r="H43">
        <v>24</v>
      </c>
      <c r="I43" s="5">
        <f>COMPRAS[[#This Row],[COSTO UNITARIO]]*COMPRAS[[#This Row],[CANTIDAD]]</f>
        <v>18000</v>
      </c>
    </row>
    <row r="44" spans="1:9" x14ac:dyDescent="0.25">
      <c r="A44" s="1" t="s">
        <v>59</v>
      </c>
      <c r="B44" s="7">
        <v>45945</v>
      </c>
      <c r="C44" s="1" t="str">
        <f>TEXT(COMPRAS[[#This Row],[FECHA]],"[$-es-CL]mmmm")</f>
        <v>octubre</v>
      </c>
      <c r="D44" s="1" cm="1">
        <f t="array" ref="D44">YEAR(IF(ISNUMBER(COMPRAS[[#This Row],[FECHA]]),COMPRAS[[#This Row],[FECHA]],FECHA.VALOR(COMPRAS[[#This Row],[FECHA]])))</f>
        <v>2025</v>
      </c>
      <c r="E44" t="str">
        <f>IFERROR(VLOOKUP(COMPRAS[[#This Row],[CODIGO]],INVENTARIO[],2,FALSE),"NO EXISTE")</f>
        <v>CIF</v>
      </c>
      <c r="F44" s="1" t="str">
        <f>IFERROR(VLOOKUP(COMPRAS[[#This Row],[CODIGO]],INVENTARIO[],3,FALSE),"NO EXISTE")</f>
        <v>COCINA</v>
      </c>
      <c r="G44" s="5">
        <v>990</v>
      </c>
      <c r="H44">
        <v>12</v>
      </c>
      <c r="I44" s="5">
        <f>COMPRAS[[#This Row],[COSTO UNITARIO]]*COMPRAS[[#This Row],[CANTIDAD]]</f>
        <v>11880</v>
      </c>
    </row>
    <row r="45" spans="1:9" x14ac:dyDescent="0.25">
      <c r="A45" s="1" t="s">
        <v>60</v>
      </c>
      <c r="B45" s="7">
        <v>45945</v>
      </c>
      <c r="C45" s="1" t="str">
        <f>TEXT(COMPRAS[[#This Row],[FECHA]],"[$-es-CL]mmmm")</f>
        <v>octubre</v>
      </c>
      <c r="D45" s="1" cm="1">
        <f t="array" ref="D45">YEAR(IF(ISNUMBER(COMPRAS[[#This Row],[FECHA]]),COMPRAS[[#This Row],[FECHA]],FECHA.VALOR(COMPRAS[[#This Row],[FECHA]])))</f>
        <v>2025</v>
      </c>
      <c r="E45" t="str">
        <f>IFERROR(VLOOKUP(COMPRAS[[#This Row],[CODIGO]],INVENTARIO[],2,FALSE),"NO EXISTE")</f>
        <v>LUSTRA MUEBLES</v>
      </c>
      <c r="F45" s="1" t="str">
        <f>IFERROR(VLOOKUP(COMPRAS[[#This Row],[CODIGO]],INVENTARIO[],3,FALSE),"NO EXISTE")</f>
        <v>COCINA</v>
      </c>
      <c r="G45" s="5"/>
      <c r="H45">
        <v>50</v>
      </c>
      <c r="I45" s="5">
        <f>COMPRAS[[#This Row],[COSTO UNITARIO]]*COMPRAS[[#This Row],[CANTIDAD]]</f>
        <v>0</v>
      </c>
    </row>
    <row r="46" spans="1:9" x14ac:dyDescent="0.25">
      <c r="A46" s="1" t="s">
        <v>61</v>
      </c>
      <c r="B46" s="7">
        <v>45945</v>
      </c>
      <c r="C46" s="1" t="str">
        <f>TEXT(COMPRAS[[#This Row],[FECHA]],"[$-es-CL]mmmm")</f>
        <v>octubre</v>
      </c>
      <c r="D46" s="1" cm="1">
        <f t="array" ref="D46">YEAR(IF(ISNUMBER(COMPRAS[[#This Row],[FECHA]]),COMPRAS[[#This Row],[FECHA]],FECHA.VALOR(COMPRAS[[#This Row],[FECHA]])))</f>
        <v>2025</v>
      </c>
      <c r="E46" t="str">
        <f>IFERROR(VLOOKUP(COMPRAS[[#This Row],[CODIGO]],INVENTARIO[],2,FALSE),"NO EXISTE")</f>
        <v>LIMPIA VIDRIOS DE 500CC</v>
      </c>
      <c r="F46" s="1" t="str">
        <f>IFERROR(VLOOKUP(COMPRAS[[#This Row],[CODIGO]],INVENTARIO[],3,FALSE),"NO EXISTE")</f>
        <v>COCINA</v>
      </c>
      <c r="G46" s="5">
        <v>500</v>
      </c>
      <c r="H46">
        <v>50</v>
      </c>
      <c r="I46" s="5">
        <f>COMPRAS[[#This Row],[COSTO UNITARIO]]*COMPRAS[[#This Row],[CANTIDAD]]</f>
        <v>25000</v>
      </c>
    </row>
    <row r="47" spans="1:9" x14ac:dyDescent="0.25">
      <c r="A47" s="1" t="s">
        <v>62</v>
      </c>
      <c r="B47" s="7">
        <v>45945</v>
      </c>
      <c r="C47" s="1" t="str">
        <f>TEXT(COMPRAS[[#This Row],[FECHA]],"[$-es-CL]mmmm")</f>
        <v>octubre</v>
      </c>
      <c r="D47" s="1" cm="1">
        <f t="array" ref="D47">YEAR(IF(ISNUMBER(COMPRAS[[#This Row],[FECHA]]),COMPRAS[[#This Row],[FECHA]],FECHA.VALOR(COMPRAS[[#This Row],[FECHA]])))</f>
        <v>2025</v>
      </c>
      <c r="E47" t="str">
        <f>IFERROR(VLOOKUP(COMPRAS[[#This Row],[CODIGO]],INVENTARIO[],2,FALSE),"NO EXISTE")</f>
        <v>LIMPIA PISOS FLOTANTE</v>
      </c>
      <c r="F47" s="1" t="str">
        <f>IFERROR(VLOOKUP(COMPRAS[[#This Row],[CODIGO]],INVENTARIO[],3,FALSE),"NO EXISTE")</f>
        <v>COCINA</v>
      </c>
      <c r="G47" s="5">
        <v>85</v>
      </c>
      <c r="H47">
        <v>400</v>
      </c>
      <c r="I47" s="5">
        <f>COMPRAS[[#This Row],[COSTO UNITARIO]]*COMPRAS[[#This Row],[CANTIDAD]]</f>
        <v>34000</v>
      </c>
    </row>
    <row r="48" spans="1:9" x14ac:dyDescent="0.25">
      <c r="A48" s="1" t="s">
        <v>67</v>
      </c>
      <c r="B48" s="7">
        <v>45945</v>
      </c>
      <c r="C48" s="1" t="str">
        <f>TEXT(COMPRAS[[#This Row],[FECHA]],"[$-es-CL]mmmm")</f>
        <v>octubre</v>
      </c>
      <c r="D48" s="1" cm="1">
        <f t="array" ref="D48">YEAR(IF(ISNUMBER(COMPRAS[[#This Row],[FECHA]]),COMPRAS[[#This Row],[FECHA]],FECHA.VALOR(COMPRAS[[#This Row],[FECHA]])))</f>
        <v>2025</v>
      </c>
      <c r="E48" t="str">
        <f>IFERROR(VLOOKUP(COMPRAS[[#This Row],[CODIGO]],INVENTARIO[],2,FALSE),"NO EXISTE")</f>
        <v xml:space="preserve">VIRUTILLA </v>
      </c>
      <c r="F48" s="1" t="str">
        <f>IFERROR(VLOOKUP(COMPRAS[[#This Row],[CODIGO]],INVENTARIO[],3,FALSE),"NO EXISTE")</f>
        <v>COCINA</v>
      </c>
      <c r="G48" s="5">
        <v>56</v>
      </c>
      <c r="H48">
        <v>100</v>
      </c>
      <c r="I48" s="5">
        <f>COMPRAS[[#This Row],[COSTO UNITARIO]]*COMPRAS[[#This Row],[CANTIDAD]]</f>
        <v>5600</v>
      </c>
    </row>
    <row r="49" spans="1:9" x14ac:dyDescent="0.25">
      <c r="A49" s="1" t="s">
        <v>68</v>
      </c>
      <c r="B49" s="7">
        <v>45945</v>
      </c>
      <c r="C49" s="1" t="str">
        <f>TEXT(COMPRAS[[#This Row],[FECHA]],"[$-es-CL]mmmm")</f>
        <v>octubre</v>
      </c>
      <c r="D49" s="1" cm="1">
        <f t="array" ref="D49">YEAR(IF(ISNUMBER(COMPRAS[[#This Row],[FECHA]]),COMPRAS[[#This Row],[FECHA]],FECHA.VALOR(COMPRAS[[#This Row],[FECHA]])))</f>
        <v>2025</v>
      </c>
      <c r="E49" t="str">
        <f>IFERROR(VLOOKUP(COMPRAS[[#This Row],[CODIGO]],INVENTARIO[],2,FALSE),"NO EXISTE")</f>
        <v>LIMPIA PISOS SPUM COLOR ROJO</v>
      </c>
      <c r="F49" s="1" t="str">
        <f>IFERROR(VLOOKUP(COMPRAS[[#This Row],[CODIGO]],INVENTARIO[],3,FALSE),"NO EXISTE")</f>
        <v>SUPERFICIE</v>
      </c>
      <c r="G49" s="5">
        <v>591</v>
      </c>
      <c r="H49">
        <v>24</v>
      </c>
      <c r="I49" s="5">
        <f>COMPRAS[[#This Row],[COSTO UNITARIO]]*COMPRAS[[#This Row],[CANTIDAD]]</f>
        <v>14184</v>
      </c>
    </row>
    <row r="50" spans="1:9" x14ac:dyDescent="0.25">
      <c r="A50" s="1" t="s">
        <v>69</v>
      </c>
      <c r="B50" s="7">
        <v>45945</v>
      </c>
      <c r="C50" s="1" t="str">
        <f>TEXT(COMPRAS[[#This Row],[FECHA]],"[$-es-CL]mmmm")</f>
        <v>octubre</v>
      </c>
      <c r="D50" s="1" cm="1">
        <f t="array" ref="D50">YEAR(IF(ISNUMBER(COMPRAS[[#This Row],[FECHA]]),COMPRAS[[#This Row],[FECHA]],FECHA.VALOR(COMPRAS[[#This Row],[FECHA]])))</f>
        <v>2025</v>
      </c>
      <c r="E50" t="str">
        <f>IFERROR(VLOOKUP(COMPRAS[[#This Row],[CODIGO]],INVENTARIO[],2,FALSE),"NO EXISTE")</f>
        <v>LIMPIA PISOS SPUM COLOR AZUL</v>
      </c>
      <c r="F50" s="1" t="str">
        <f>IFERROR(VLOOKUP(COMPRAS[[#This Row],[CODIGO]],INVENTARIO[],3,FALSE),"NO EXISTE")</f>
        <v>SUPERFICIE</v>
      </c>
      <c r="G50" s="5">
        <v>1100</v>
      </c>
      <c r="H50">
        <v>12</v>
      </c>
      <c r="I50" s="5">
        <f>COMPRAS[[#This Row],[COSTO UNITARIO]]*COMPRAS[[#This Row],[CANTIDAD]]</f>
        <v>13200</v>
      </c>
    </row>
    <row r="51" spans="1:9" x14ac:dyDescent="0.25">
      <c r="A51" s="1" t="s">
        <v>70</v>
      </c>
      <c r="B51" s="7">
        <v>45945</v>
      </c>
      <c r="C51" s="1" t="str">
        <f>TEXT(COMPRAS[[#This Row],[FECHA]],"[$-es-CL]mmmm")</f>
        <v>octubre</v>
      </c>
      <c r="D51" s="1" cm="1">
        <f t="array" ref="D51">YEAR(IF(ISNUMBER(COMPRAS[[#This Row],[FECHA]]),COMPRAS[[#This Row],[FECHA]],FECHA.VALOR(COMPRAS[[#This Row],[FECHA]])))</f>
        <v>2025</v>
      </c>
      <c r="E51" t="str">
        <f>IFERROR(VLOOKUP(COMPRAS[[#This Row],[CODIGO]],INVENTARIO[],2,FALSE),"NO EXISTE")</f>
        <v>LIMPIA PISOS BRILLEX  AMARILLO</v>
      </c>
      <c r="F51" s="1" t="str">
        <f>IFERROR(VLOOKUP(COMPRAS[[#This Row],[CODIGO]],INVENTARIO[],3,FALSE),"NO EXISTE")</f>
        <v>SUPERFICIE</v>
      </c>
      <c r="G51" s="5">
        <v>158</v>
      </c>
      <c r="H51">
        <v>12</v>
      </c>
      <c r="I51" s="5">
        <f>COMPRAS[[#This Row],[COSTO UNITARIO]]*COMPRAS[[#This Row],[CANTIDAD]]</f>
        <v>1896</v>
      </c>
    </row>
    <row r="52" spans="1:9" x14ac:dyDescent="0.25">
      <c r="A52" s="1" t="s">
        <v>71</v>
      </c>
      <c r="B52" s="7">
        <v>45945</v>
      </c>
      <c r="C52" s="1" t="str">
        <f>TEXT(COMPRAS[[#This Row],[FECHA]],"[$-es-CL]mmmm")</f>
        <v>octubre</v>
      </c>
      <c r="D52" s="1" cm="1">
        <f t="array" ref="D52">YEAR(IF(ISNUMBER(COMPRAS[[#This Row],[FECHA]]),COMPRAS[[#This Row],[FECHA]],FECHA.VALOR(COMPRAS[[#This Row],[FECHA]])))</f>
        <v>2025</v>
      </c>
      <c r="E52" t="str">
        <f>IFERROR(VLOOKUP(COMPRAS[[#This Row],[CODIGO]],INVENTARIO[],2,FALSE),"NO EXISTE")</f>
        <v>LIMPIA PISOS AROMAX AZUL</v>
      </c>
      <c r="F52" s="1" t="str">
        <f>IFERROR(VLOOKUP(COMPRAS[[#This Row],[CODIGO]],INVENTARIO[],3,FALSE),"NO EXISTE")</f>
        <v>SUPERFICIE</v>
      </c>
      <c r="G52" s="5">
        <v>650</v>
      </c>
      <c r="H52">
        <v>12</v>
      </c>
      <c r="I52" s="5">
        <f>COMPRAS[[#This Row],[COSTO UNITARIO]]*COMPRAS[[#This Row],[CANTIDAD]]</f>
        <v>7800</v>
      </c>
    </row>
    <row r="53" spans="1:9" x14ac:dyDescent="0.25">
      <c r="A53" s="1" t="s">
        <v>72</v>
      </c>
      <c r="B53" s="7">
        <v>45945</v>
      </c>
      <c r="C53" s="1" t="str">
        <f>TEXT(COMPRAS[[#This Row],[FECHA]],"[$-es-CL]mmmm")</f>
        <v>octubre</v>
      </c>
      <c r="D53" s="1" cm="1">
        <f t="array" ref="D53">YEAR(IF(ISNUMBER(COMPRAS[[#This Row],[FECHA]]),COMPRAS[[#This Row],[FECHA]],FECHA.VALOR(COMPRAS[[#This Row],[FECHA]])))</f>
        <v>2025</v>
      </c>
      <c r="E53" t="str">
        <f>IFERROR(VLOOKUP(COMPRAS[[#This Row],[CODIGO]],INVENTARIO[],2,FALSE),"NO EXISTE")</f>
        <v>LIMPIA PISOS AROMAX ROSADO</v>
      </c>
      <c r="F53" s="1" t="str">
        <f>IFERROR(VLOOKUP(COMPRAS[[#This Row],[CODIGO]],INVENTARIO[],3,FALSE),"NO EXISTE")</f>
        <v>SUPERFICIE</v>
      </c>
      <c r="G53" s="5">
        <v>750</v>
      </c>
      <c r="H53">
        <v>10</v>
      </c>
      <c r="I53" s="5">
        <f>COMPRAS[[#This Row],[COSTO UNITARIO]]*COMPRAS[[#This Row],[CANTIDAD]]</f>
        <v>7500</v>
      </c>
    </row>
    <row r="54" spans="1:9" x14ac:dyDescent="0.25">
      <c r="A54" s="1" t="s">
        <v>73</v>
      </c>
      <c r="B54" s="7">
        <v>45945</v>
      </c>
      <c r="C54" s="1" t="str">
        <f>TEXT(COMPRAS[[#This Row],[FECHA]],"[$-es-CL]mmmm")</f>
        <v>octubre</v>
      </c>
      <c r="D54" s="1" cm="1">
        <f t="array" ref="D54">YEAR(IF(ISNUMBER(COMPRAS[[#This Row],[FECHA]]),COMPRAS[[#This Row],[FECHA]],FECHA.VALOR(COMPRAS[[#This Row],[FECHA]])))</f>
        <v>2025</v>
      </c>
      <c r="E54" t="str">
        <f>IFERROR(VLOOKUP(COMPRAS[[#This Row],[CODIGO]],INVENTARIO[],2,FALSE),"NO EXISTE")</f>
        <v>LIMPIA PISOS AROMAX MORADO</v>
      </c>
      <c r="F54" s="1" t="str">
        <f>IFERROR(VLOOKUP(COMPRAS[[#This Row],[CODIGO]],INVENTARIO[],3,FALSE),"NO EXISTE")</f>
        <v>SUPERFICIE</v>
      </c>
      <c r="G54" s="5">
        <v>250</v>
      </c>
      <c r="H54">
        <v>12</v>
      </c>
      <c r="I54" s="5">
        <f>COMPRAS[[#This Row],[COSTO UNITARIO]]*COMPRAS[[#This Row],[CANTIDAD]]</f>
        <v>3000</v>
      </c>
    </row>
    <row r="55" spans="1:9" x14ac:dyDescent="0.25">
      <c r="A55" s="1" t="s">
        <v>74</v>
      </c>
      <c r="B55" s="7">
        <v>45945</v>
      </c>
      <c r="C55" s="1" t="str">
        <f>TEXT(COMPRAS[[#This Row],[FECHA]],"[$-es-CL]mmmm")</f>
        <v>octubre</v>
      </c>
      <c r="D55" s="1" cm="1">
        <f t="array" ref="D55">YEAR(IF(ISNUMBER(COMPRAS[[#This Row],[FECHA]]),COMPRAS[[#This Row],[FECHA]],FECHA.VALOR(COMPRAS[[#This Row],[FECHA]])))</f>
        <v>2025</v>
      </c>
      <c r="E55" t="str">
        <f>IFERROR(VLOOKUP(COMPRAS[[#This Row],[CODIGO]],INVENTARIO[],2,FALSE),"NO EXISTE")</f>
        <v>LIMPIA PISOS POETT ROSADO</v>
      </c>
      <c r="F55" s="1" t="str">
        <f>IFERROR(VLOOKUP(COMPRAS[[#This Row],[CODIGO]],INVENTARIO[],3,FALSE),"NO EXISTE")</f>
        <v>SUPERFICIE</v>
      </c>
      <c r="G55" s="5">
        <v>790</v>
      </c>
      <c r="H55">
        <v>6</v>
      </c>
      <c r="I55" s="5">
        <f>COMPRAS[[#This Row],[COSTO UNITARIO]]*COMPRAS[[#This Row],[CANTIDAD]]</f>
        <v>4740</v>
      </c>
    </row>
    <row r="56" spans="1:9" x14ac:dyDescent="0.25">
      <c r="A56" s="1" t="s">
        <v>75</v>
      </c>
      <c r="B56" s="7">
        <v>45946</v>
      </c>
      <c r="C56" s="1" t="str">
        <f>TEXT(COMPRAS[[#This Row],[FECHA]],"[$-es-CL]mmmm")</f>
        <v>octubre</v>
      </c>
      <c r="D56" s="1" cm="1">
        <f t="array" ref="D56">YEAR(IF(ISNUMBER(COMPRAS[[#This Row],[FECHA]]),COMPRAS[[#This Row],[FECHA]],FECHA.VALOR(COMPRAS[[#This Row],[FECHA]])))</f>
        <v>2025</v>
      </c>
      <c r="E56" t="str">
        <f>IFERROR(VLOOKUP(COMPRAS[[#This Row],[CODIGO]],INVENTARIO[],2,FALSE),"NO EXISTE")</f>
        <v>LIMPIA PISOS POETT MORADO OSCURO</v>
      </c>
      <c r="F56" s="1" t="str">
        <f>IFERROR(VLOOKUP(COMPRAS[[#This Row],[CODIGO]],INVENTARIO[],3,FALSE),"NO EXISTE")</f>
        <v>SUPERFICIE</v>
      </c>
      <c r="G56" s="5">
        <v>350</v>
      </c>
      <c r="H56">
        <v>24</v>
      </c>
      <c r="I56" s="5">
        <f>COMPRAS[[#This Row],[COSTO UNITARIO]]*COMPRAS[[#This Row],[CANTIDAD]]</f>
        <v>8400</v>
      </c>
    </row>
    <row r="57" spans="1:9" x14ac:dyDescent="0.25">
      <c r="A57" s="1" t="s">
        <v>85</v>
      </c>
      <c r="B57" s="7">
        <v>45946</v>
      </c>
      <c r="C57" s="1" t="str">
        <f>TEXT(COMPRAS[[#This Row],[FECHA]],"[$-es-CL]mmmm")</f>
        <v>octubre</v>
      </c>
      <c r="D57" s="1" cm="1">
        <f t="array" ref="D57">YEAR(IF(ISNUMBER(COMPRAS[[#This Row],[FECHA]]),COMPRAS[[#This Row],[FECHA]],FECHA.VALOR(COMPRAS[[#This Row],[FECHA]])))</f>
        <v>2025</v>
      </c>
      <c r="E57" t="str">
        <f>IFERROR(VLOOKUP(COMPRAS[[#This Row],[CODIGO]],INVENTARIO[],2,FALSE),"NO EXISTE")</f>
        <v>ESCOBILLON</v>
      </c>
      <c r="F57" s="1" t="str">
        <f>IFERROR(VLOOKUP(COMPRAS[[#This Row],[CODIGO]],INVENTARIO[],3,FALSE),"NO EXISTE")</f>
        <v>SUPERFICIE</v>
      </c>
      <c r="G57" s="5">
        <v>99</v>
      </c>
      <c r="H57">
        <v>40</v>
      </c>
      <c r="I57" s="5">
        <f>COMPRAS[[#This Row],[COSTO UNITARIO]]*COMPRAS[[#This Row],[CANTIDAD]]</f>
        <v>3960</v>
      </c>
    </row>
    <row r="58" spans="1:9" x14ac:dyDescent="0.25">
      <c r="A58" s="1" t="s">
        <v>86</v>
      </c>
      <c r="B58" s="7">
        <v>45946</v>
      </c>
      <c r="C58" s="1" t="str">
        <f>TEXT(COMPRAS[[#This Row],[FECHA]],"[$-es-CL]mmmm")</f>
        <v>octubre</v>
      </c>
      <c r="D58" s="1" cm="1">
        <f t="array" ref="D58">YEAR(IF(ISNUMBER(COMPRAS[[#This Row],[FECHA]]),COMPRAS[[#This Row],[FECHA]],FECHA.VALOR(COMPRAS[[#This Row],[FECHA]])))</f>
        <v>2025</v>
      </c>
      <c r="E58" t="str">
        <f>IFERROR(VLOOKUP(COMPRAS[[#This Row],[CODIGO]],INVENTARIO[],2,FALSE),"NO EXISTE")</f>
        <v>LIMPIA PISOS POETT MORADO CLARO</v>
      </c>
      <c r="F58" s="1" t="str">
        <f>IFERROR(VLOOKUP(COMPRAS[[#This Row],[CODIGO]],INVENTARIO[],3,FALSE),"NO EXISTE")</f>
        <v>SUPERFICIE</v>
      </c>
      <c r="G58" s="5"/>
      <c r="I58" s="5">
        <f>COMPRAS[[#This Row],[COSTO UNITARIO]]*COMPRAS[[#This Row],[CANTIDAD]]</f>
        <v>0</v>
      </c>
    </row>
    <row r="59" spans="1:9" x14ac:dyDescent="0.25">
      <c r="A59" s="1" t="s">
        <v>87</v>
      </c>
      <c r="B59" s="7">
        <v>45946</v>
      </c>
      <c r="C59" s="1" t="str">
        <f>TEXT(COMPRAS[[#This Row],[FECHA]],"[$-es-CL]mmmm")</f>
        <v>octubre</v>
      </c>
      <c r="D59" s="1" cm="1">
        <f t="array" ref="D59">YEAR(IF(ISNUMBER(COMPRAS[[#This Row],[FECHA]]),COMPRAS[[#This Row],[FECHA]],FECHA.VALOR(COMPRAS[[#This Row],[FECHA]])))</f>
        <v>2025</v>
      </c>
      <c r="E59" t="str">
        <f>IFERROR(VLOOKUP(COMPRAS[[#This Row],[CODIGO]],INVENTARIO[],2,FALSE),"NO EXISTE")</f>
        <v>LIMPIA PISOS POETT AZUL</v>
      </c>
      <c r="F59" s="1" t="str">
        <f>IFERROR(VLOOKUP(COMPRAS[[#This Row],[CODIGO]],INVENTARIO[],3,FALSE),"NO EXISTE")</f>
        <v>SUPERFICIE</v>
      </c>
      <c r="G59" s="5"/>
      <c r="I59" s="5">
        <f>COMPRAS[[#This Row],[COSTO UNITARIO]]*COMPRAS[[#This Row],[CANTIDAD]]</f>
        <v>0</v>
      </c>
    </row>
    <row r="60" spans="1:9" x14ac:dyDescent="0.25">
      <c r="A60" s="1" t="s">
        <v>88</v>
      </c>
      <c r="B60" s="7">
        <v>45946</v>
      </c>
      <c r="C60" s="1" t="str">
        <f>TEXT(COMPRAS[[#This Row],[FECHA]],"[$-es-CL]mmmm")</f>
        <v>octubre</v>
      </c>
      <c r="D60" s="1" cm="1">
        <f t="array" ref="D60">YEAR(IF(ISNUMBER(COMPRAS[[#This Row],[FECHA]]),COMPRAS[[#This Row],[FECHA]],FECHA.VALOR(COMPRAS[[#This Row],[FECHA]])))</f>
        <v>2025</v>
      </c>
      <c r="E60" t="str">
        <f>IFERROR(VLOOKUP(COMPRAS[[#This Row],[CODIGO]],INVENTARIO[],2,FALSE),"NO EXISTE")</f>
        <v>CERA DE 1 LITRO</v>
      </c>
      <c r="F60" s="1" t="str">
        <f>IFERROR(VLOOKUP(COMPRAS[[#This Row],[CODIGO]],INVENTARIO[],3,FALSE),"NO EXISTE")</f>
        <v>SUPERFICIE</v>
      </c>
      <c r="G60" s="5"/>
      <c r="I60" s="5">
        <f>COMPRAS[[#This Row],[COSTO UNITARIO]]*COMPRAS[[#This Row],[CANTIDAD]]</f>
        <v>0</v>
      </c>
    </row>
    <row r="61" spans="1:9" x14ac:dyDescent="0.25">
      <c r="A61" s="1" t="s">
        <v>89</v>
      </c>
      <c r="B61" s="7">
        <v>45946</v>
      </c>
      <c r="C61" s="1" t="str">
        <f>TEXT(COMPRAS[[#This Row],[FECHA]],"[$-es-CL]mmmm")</f>
        <v>octubre</v>
      </c>
      <c r="D61" s="1" cm="1">
        <f t="array" ref="D61">YEAR(IF(ISNUMBER(COMPRAS[[#This Row],[FECHA]]),COMPRAS[[#This Row],[FECHA]],FECHA.VALOR(COMPRAS[[#This Row],[FECHA]])))</f>
        <v>2025</v>
      </c>
      <c r="E61" t="str">
        <f>IFERROR(VLOOKUP(COMPRAS[[#This Row],[CODIGO]],INVENTARIO[],2,FALSE),"NO EXISTE")</f>
        <v>CERA DE 2 LITROS</v>
      </c>
      <c r="F61" s="1" t="str">
        <f>IFERROR(VLOOKUP(COMPRAS[[#This Row],[CODIGO]],INVENTARIO[],3,FALSE),"NO EXISTE")</f>
        <v>SUPERFICIE</v>
      </c>
      <c r="G61" s="5"/>
      <c r="I61" s="5">
        <f>COMPRAS[[#This Row],[COSTO UNITARIO]]*COMPRAS[[#This Row],[CANTIDAD]]</f>
        <v>0</v>
      </c>
    </row>
    <row r="62" spans="1:9" x14ac:dyDescent="0.25">
      <c r="A62" s="1" t="s">
        <v>105</v>
      </c>
      <c r="B62" s="7">
        <v>45955</v>
      </c>
      <c r="C62" s="1" t="str">
        <f>TEXT(COMPRAS[[#This Row],[FECHA]],"[$-es-CL]mmmm")</f>
        <v>octubre</v>
      </c>
      <c r="D62" s="1" cm="1">
        <f t="array" ref="D62">YEAR(IF(ISNUMBER(COMPRAS[[#This Row],[FECHA]]),COMPRAS[[#This Row],[FECHA]],FECHA.VALOR(COMPRAS[[#This Row],[FECHA]])))</f>
        <v>2025</v>
      </c>
      <c r="E62" t="str">
        <f>IFERROR(VLOOKUP(COMPRAS[[#This Row],[CODIGO]],INVENTARIO[],2,FALSE),"NO EXISTE")</f>
        <v>PASTILLAS DE CLORO CHICAS PARA BAÑO</v>
      </c>
      <c r="F62" s="1" t="str">
        <f>IFERROR(VLOOKUP(COMPRAS[[#This Row],[CODIGO]],INVENTARIO[],3,FALSE),"NO EXISTE")</f>
        <v>SUPERFICIE</v>
      </c>
      <c r="G62" s="5">
        <v>9000</v>
      </c>
      <c r="H62">
        <v>24</v>
      </c>
      <c r="I62" s="5">
        <f>COMPRAS[[#This Row],[COSTO UNITARIO]]*COMPRAS[[#This Row],[CANTIDAD]]</f>
        <v>216000</v>
      </c>
    </row>
    <row r="63" spans="1:9" x14ac:dyDescent="0.25">
      <c r="A63" s="1" t="s">
        <v>124</v>
      </c>
      <c r="B63" s="7">
        <v>45955</v>
      </c>
      <c r="C63" s="1" t="str">
        <f>TEXT(COMPRAS[[#This Row],[FECHA]],"[$-es-CL]mmmm")</f>
        <v>octubre</v>
      </c>
      <c r="D63" s="1" cm="1">
        <f t="array" ref="D63">YEAR(IF(ISNUMBER(COMPRAS[[#This Row],[FECHA]]),COMPRAS[[#This Row],[FECHA]],FECHA.VALOR(COMPRAS[[#This Row],[FECHA]])))</f>
        <v>2025</v>
      </c>
      <c r="E63" t="str">
        <f>IFERROR(VLOOKUP(COMPRAS[[#This Row],[CODIGO]],INVENTARIO[],2,FALSE),"NO EXISTE")</f>
        <v>TOALLITAS DESINFECTANTE IGENIX</v>
      </c>
      <c r="F63" s="1" t="str">
        <f>IFERROR(VLOOKUP(COMPRAS[[#This Row],[CODIGO]],INVENTARIO[],3,FALSE),"NO EXISTE")</f>
        <v>SUPERFICIE</v>
      </c>
      <c r="G63" s="5">
        <v>3330</v>
      </c>
      <c r="H63">
        <v>24</v>
      </c>
      <c r="I63" s="5">
        <f>COMPRAS[[#This Row],[COSTO UNITARIO]]*COMPRAS[[#This Row],[CANTIDAD]]</f>
        <v>79920</v>
      </c>
    </row>
    <row r="64" spans="1:9" x14ac:dyDescent="0.25">
      <c r="A64" s="1" t="s">
        <v>126</v>
      </c>
    </row>
  </sheetData>
  <mergeCells count="1">
    <mergeCell ref="A1:I3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4B5D-120C-48DC-9FAC-92C5FA8F789F}">
  <dimension ref="A1:K63"/>
  <sheetViews>
    <sheetView workbookViewId="0">
      <selection activeCell="J7" sqref="J7:K63"/>
    </sheetView>
  </sheetViews>
  <sheetFormatPr baseColWidth="10" defaultRowHeight="15" x14ac:dyDescent="0.25"/>
  <cols>
    <col min="5" max="5" width="33.42578125" customWidth="1"/>
    <col min="6" max="6" width="23.7109375" customWidth="1"/>
    <col min="7" max="7" width="18" customWidth="1"/>
    <col min="8" max="8" width="17.5703125" customWidth="1"/>
    <col min="9" max="9" width="11.7109375" customWidth="1"/>
    <col min="10" max="10" width="19.7109375" customWidth="1"/>
    <col min="11" max="11" width="14.7109375" bestFit="1" customWidth="1"/>
  </cols>
  <sheetData>
    <row r="1" spans="1:11" x14ac:dyDescent="0.25">
      <c r="A1" s="18" t="s">
        <v>108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J4" s="2" t="s">
        <v>122</v>
      </c>
      <c r="K4" s="2" t="s">
        <v>123</v>
      </c>
    </row>
    <row r="5" spans="1:11" x14ac:dyDescent="0.25">
      <c r="J5" s="6">
        <f>SUBTOTAL(9,J6:J212)</f>
        <v>0</v>
      </c>
      <c r="K5" s="6">
        <f>SUBTOTAL(9,K6:K212)</f>
        <v>0</v>
      </c>
    </row>
    <row r="6" spans="1:11" x14ac:dyDescent="0.25">
      <c r="A6" t="s">
        <v>0</v>
      </c>
      <c r="B6" t="s">
        <v>115</v>
      </c>
      <c r="C6" t="s">
        <v>116</v>
      </c>
      <c r="D6" t="s">
        <v>117</v>
      </c>
      <c r="E6" t="s">
        <v>1</v>
      </c>
      <c r="F6" t="s">
        <v>2</v>
      </c>
      <c r="G6" t="s">
        <v>111</v>
      </c>
      <c r="H6" t="s">
        <v>110</v>
      </c>
      <c r="I6" t="s">
        <v>118</v>
      </c>
      <c r="J6" t="s">
        <v>120</v>
      </c>
      <c r="K6" t="s">
        <v>121</v>
      </c>
    </row>
    <row r="7" spans="1:11" x14ac:dyDescent="0.25">
      <c r="A7" t="s">
        <v>4</v>
      </c>
      <c r="B7" s="3">
        <v>45047</v>
      </c>
      <c r="C7" t="str">
        <f>TEXT(VENTAS[[#This Row],[FECHA]],"[$-es-CL]mmmm")</f>
        <v>mayo</v>
      </c>
      <c r="D7" cm="1">
        <f t="array" ref="D7">YEAR(IF(ISNUMBER(VENTAS[[#This Row],[FECHA]]),VENTAS[[#This Row],[FECHA]],FECHA.VALOR(VENTAS[[#This Row],[FECHA]])))</f>
        <v>2023</v>
      </c>
      <c r="E7" t="str">
        <f>IFERROR(VLOOKUP(VENTAS[[#This Row],[CODIGO]],INVENTARIO[],2,FALSE),"NO EXISTE")</f>
        <v>DETERGENTE BIO AZUL DE 5 LITROS</v>
      </c>
      <c r="F7" t="str">
        <f>IFERROR(VLOOKUP(VENTAS[[#This Row],[CODIGO]],INVENTARIO[],3,FALSE),"NO EXISTE")</f>
        <v>LAVANDERIA</v>
      </c>
      <c r="G7" s="5">
        <f>IFERROR(VLOOKUP(VENTAS[[#This Row],[CODIGO]],INVENTARIO[],8,FALSE),"NO EXISTE")</f>
        <v>1800</v>
      </c>
      <c r="H7" s="5">
        <f>IFERROR(VLOOKUP(VENTAS[[#This Row],[CODIGO]],INVENTARIO[],7,FALSE),"NO EXISTE")</f>
        <v>920</v>
      </c>
      <c r="I7">
        <v>0</v>
      </c>
      <c r="J7" s="4">
        <f>VENTAS[[#This Row],[PRECIO DE VENTA]]*VENTAS[[#This Row],[CANTIDAD]]</f>
        <v>0</v>
      </c>
      <c r="K7" s="4">
        <f>VENTAS[[#This Row],[TOTAL DE LA VENTA]]-VENTAS[[#This Row],[COSTO UNITARIO]]*VENTAS[[#This Row],[CANTIDAD]]</f>
        <v>0</v>
      </c>
    </row>
    <row r="8" spans="1:11" x14ac:dyDescent="0.25">
      <c r="A8" t="s">
        <v>5</v>
      </c>
      <c r="C8" t="str">
        <f>TEXT(VENTAS[[#This Row],[FECHA]],"[$-es-CL]mmmm")</f>
        <v>enero</v>
      </c>
      <c r="D8" t="e" cm="1">
        <f t="array" aca="1" ref="D8" ca="1">YEAR(IF(ISNUMBER(VENTAS[[#This Row],[FECHA]]),VENTAS[[#This Row],[FECHA]],FECHA.VALOR(VENTAS[[#This Row],[FECHA]])))</f>
        <v>#NAME?</v>
      </c>
      <c r="E8" t="str">
        <f>IFERROR(VLOOKUP(VENTAS[[#This Row],[CODIGO]],INVENTARIO[],2,FALSE),"NO EXISTE")</f>
        <v>DETERGENTE BIO VERDE DE 5 LITROS</v>
      </c>
      <c r="F8" t="str">
        <f>IFERROR(VLOOKUP(VENTAS[[#This Row],[CODIGO]],INVENTARIO[],3,FALSE),"NO EXISTE")</f>
        <v>LAVANDERIA</v>
      </c>
      <c r="G8" s="5">
        <f>IFERROR(VLOOKUP(VENTAS[[#This Row],[CODIGO]],INVENTARIO[],8,FALSE),"NO EXISTE")</f>
        <v>1800</v>
      </c>
      <c r="H8" s="5">
        <f>IFERROR(VLOOKUP(VENTAS[[#This Row],[CODIGO]],INVENTARIO[],7,FALSE),"NO EXISTE")</f>
        <v>920</v>
      </c>
      <c r="I8">
        <v>0</v>
      </c>
      <c r="J8" s="4">
        <f>VENTAS[[#This Row],[PRECIO DE VENTA]]*VENTAS[[#This Row],[CANTIDAD]]</f>
        <v>0</v>
      </c>
      <c r="K8" s="4">
        <f>VENTAS[[#This Row],[TOTAL DE LA VENTA]]-VENTAS[[#This Row],[COSTO UNITARIO]]*VENTAS[[#This Row],[CANTIDAD]]</f>
        <v>0</v>
      </c>
    </row>
    <row r="9" spans="1:11" x14ac:dyDescent="0.25">
      <c r="A9" t="s">
        <v>6</v>
      </c>
      <c r="C9" t="str">
        <f>TEXT(VENTAS[[#This Row],[FECHA]],"[$-es-CL]mmmm")</f>
        <v>enero</v>
      </c>
      <c r="D9" t="e" cm="1">
        <f t="array" aca="1" ref="D9" ca="1">YEAR(IF(ISNUMBER(VENTAS[[#This Row],[FECHA]]),VENTAS[[#This Row],[FECHA]],FECHA.VALOR(VENTAS[[#This Row],[FECHA]])))</f>
        <v>#NAME?</v>
      </c>
      <c r="E9" t="str">
        <f>IFERROR(VLOOKUP(VENTAS[[#This Row],[CODIGO]],INVENTARIO[],2,FALSE),"NO EXISTE")</f>
        <v>DETERGENTE MORADO CON SUAVIZANTE DE 5 LITROS</v>
      </c>
      <c r="F9" t="str">
        <f>IFERROR(VLOOKUP(VENTAS[[#This Row],[CODIGO]],INVENTARIO[],3,FALSE),"NO EXISTE")</f>
        <v>LAVANDERIA</v>
      </c>
      <c r="G9" s="5">
        <f>IFERROR(VLOOKUP(VENTAS[[#This Row],[CODIGO]],INVENTARIO[],8,FALSE),"NO EXISTE")</f>
        <v>2500</v>
      </c>
      <c r="H9" s="5">
        <f>IFERROR(VLOOKUP(VENTAS[[#This Row],[CODIGO]],INVENTARIO[],7,FALSE),"NO EXISTE")</f>
        <v>1490</v>
      </c>
      <c r="I9">
        <v>0</v>
      </c>
      <c r="J9" s="4">
        <f>VENTAS[[#This Row],[PRECIO DE VENTA]]*VENTAS[[#This Row],[CANTIDAD]]</f>
        <v>0</v>
      </c>
      <c r="K9" s="4">
        <f>VENTAS[[#This Row],[TOTAL DE LA VENTA]]-VENTAS[[#This Row],[COSTO UNITARIO]]*VENTAS[[#This Row],[CANTIDAD]]</f>
        <v>0</v>
      </c>
    </row>
    <row r="10" spans="1:11" x14ac:dyDescent="0.25">
      <c r="A10" t="s">
        <v>7</v>
      </c>
      <c r="C10" t="str">
        <f>TEXT(VENTAS[[#This Row],[FECHA]],"[$-es-CL]mmmm")</f>
        <v>enero</v>
      </c>
      <c r="D10" t="e" cm="1">
        <f t="array" aca="1" ref="D10" ca="1">YEAR(IF(ISNUMBER(VENTAS[[#This Row],[FECHA]]),VENTAS[[#This Row],[FECHA]],FECHA.VALOR(VENTAS[[#This Row],[FECHA]])))</f>
        <v>#NAME?</v>
      </c>
      <c r="E10" t="str">
        <f>IFERROR(VLOOKUP(VENTAS[[#This Row],[CODIGO]],INVENTARIO[],2,FALSE),"NO EXISTE")</f>
        <v>DETERGENTE BLANCO CON SUAVIZANTE DE 5 LITROS</v>
      </c>
      <c r="F10" t="str">
        <f>IFERROR(VLOOKUP(VENTAS[[#This Row],[CODIGO]],INVENTARIO[],3,FALSE),"NO EXISTE")</f>
        <v>LAVANDERIA</v>
      </c>
      <c r="G10" s="5">
        <f>IFERROR(VLOOKUP(VENTAS[[#This Row],[CODIGO]],INVENTARIO[],8,FALSE),"NO EXISTE")</f>
        <v>2500</v>
      </c>
      <c r="H10" s="5">
        <f>IFERROR(VLOOKUP(VENTAS[[#This Row],[CODIGO]],INVENTARIO[],7,FALSE),"NO EXISTE")</f>
        <v>1490</v>
      </c>
      <c r="I10">
        <v>0</v>
      </c>
      <c r="J10" s="4">
        <f>VENTAS[[#This Row],[PRECIO DE VENTA]]*VENTAS[[#This Row],[CANTIDAD]]</f>
        <v>0</v>
      </c>
      <c r="K10" s="4">
        <f>VENTAS[[#This Row],[TOTAL DE LA VENTA]]-VENTAS[[#This Row],[COSTO UNITARIO]]*VENTAS[[#This Row],[CANTIDAD]]</f>
        <v>0</v>
      </c>
    </row>
    <row r="11" spans="1:11" x14ac:dyDescent="0.25">
      <c r="A11" t="s">
        <v>8</v>
      </c>
      <c r="C11" t="str">
        <f>TEXT(VENTAS[[#This Row],[FECHA]],"[$-es-CL]mmmm")</f>
        <v>enero</v>
      </c>
      <c r="D11" t="e" cm="1">
        <f t="array" aca="1" ref="D11" ca="1">YEAR(IF(ISNUMBER(VENTAS[[#This Row],[FECHA]]),VENTAS[[#This Row],[FECHA]],FECHA.VALOR(VENTAS[[#This Row],[FECHA]])))</f>
        <v>#NAME?</v>
      </c>
      <c r="E11" t="str">
        <f>IFERROR(VLOOKUP(VENTAS[[#This Row],[CODIGO]],INVENTARIO[],2,FALSE),"NO EXISTE")</f>
        <v>DETERGENTE CELESTE CON SUAVIZANTE DE 5 LITROS</v>
      </c>
      <c r="F11" t="str">
        <f>IFERROR(VLOOKUP(VENTAS[[#This Row],[CODIGO]],INVENTARIO[],3,FALSE),"NO EXISTE")</f>
        <v>LAVANDERIA</v>
      </c>
      <c r="G11" s="5">
        <f>IFERROR(VLOOKUP(VENTAS[[#This Row],[CODIGO]],INVENTARIO[],8,FALSE),"NO EXISTE")</f>
        <v>2500</v>
      </c>
      <c r="H11" s="5">
        <f>IFERROR(VLOOKUP(VENTAS[[#This Row],[CODIGO]],INVENTARIO[],7,FALSE),"NO EXISTE")</f>
        <v>1490</v>
      </c>
      <c r="J11" s="4">
        <f>VENTAS[[#This Row],[PRECIO DE VENTA]]*VENTAS[[#This Row],[CANTIDAD]]</f>
        <v>0</v>
      </c>
      <c r="K11" s="4">
        <f>VENTAS[[#This Row],[TOTAL DE LA VENTA]]-VENTAS[[#This Row],[COSTO UNITARIO]]*VENTAS[[#This Row],[CANTIDAD]]</f>
        <v>0</v>
      </c>
    </row>
    <row r="12" spans="1:11" x14ac:dyDescent="0.25">
      <c r="A12" t="s">
        <v>9</v>
      </c>
      <c r="C12" t="str">
        <f>TEXT(VENTAS[[#This Row],[FECHA]],"[$-es-CL]mmmm")</f>
        <v>enero</v>
      </c>
      <c r="D12" t="e" cm="1">
        <f t="array" aca="1" ref="D12" ca="1">YEAR(IF(ISNUMBER(VENTAS[[#This Row],[FECHA]]),VENTAS[[#This Row],[FECHA]],FECHA.VALOR(VENTAS[[#This Row],[FECHA]])))</f>
        <v>#NAME?</v>
      </c>
      <c r="E12" t="str">
        <f>IFERROR(VLOOKUP(VENTAS[[#This Row],[CODIGO]],INVENTARIO[],2,FALSE),"NO EXISTE")</f>
        <v>DETERGENTE NARANJO CON SUAVIZANTE DE 5 LITROS</v>
      </c>
      <c r="F12" t="str">
        <f>IFERROR(VLOOKUP(VENTAS[[#This Row],[CODIGO]],INVENTARIO[],3,FALSE),"NO EXISTE")</f>
        <v>LAVANDERIA</v>
      </c>
      <c r="G12" s="5">
        <f>IFERROR(VLOOKUP(VENTAS[[#This Row],[CODIGO]],INVENTARIO[],8,FALSE),"NO EXISTE")</f>
        <v>2500</v>
      </c>
      <c r="H12" s="5">
        <f>IFERROR(VLOOKUP(VENTAS[[#This Row],[CODIGO]],INVENTARIO[],7,FALSE),"NO EXISTE")</f>
        <v>1490</v>
      </c>
      <c r="J12" s="4">
        <f>VENTAS[[#This Row],[PRECIO DE VENTA]]*VENTAS[[#This Row],[CANTIDAD]]</f>
        <v>0</v>
      </c>
      <c r="K12" s="4">
        <f>VENTAS[[#This Row],[TOTAL DE LA VENTA]]-VENTAS[[#This Row],[COSTO UNITARIO]]*VENTAS[[#This Row],[CANTIDAD]]</f>
        <v>0</v>
      </c>
    </row>
    <row r="13" spans="1:11" x14ac:dyDescent="0.25">
      <c r="A13" t="s">
        <v>10</v>
      </c>
      <c r="C13" t="str">
        <f>TEXT(VENTAS[[#This Row],[FECHA]],"[$-es-CL]mmmm")</f>
        <v>enero</v>
      </c>
      <c r="D13" t="e" cm="1">
        <f t="array" aca="1" ref="D13" ca="1">YEAR(IF(ISNUMBER(VENTAS[[#This Row],[FECHA]]),VENTAS[[#This Row],[FECHA]],FECHA.VALOR(VENTAS[[#This Row],[FECHA]])))</f>
        <v>#NAME?</v>
      </c>
      <c r="E13" t="str">
        <f>IFERROR(VLOOKUP(VENTAS[[#This Row],[CODIGO]],INVENTARIO[],2,FALSE),"NO EXISTE")</f>
        <v>DETERGENTE ROSADO CON SUAVIZANTE DE 5 LITROS</v>
      </c>
      <c r="F13" t="str">
        <f>IFERROR(VLOOKUP(VENTAS[[#This Row],[CODIGO]],INVENTARIO[],3,FALSE),"NO EXISTE")</f>
        <v>LAVANDERIA</v>
      </c>
      <c r="G13" s="5">
        <f>IFERROR(VLOOKUP(VENTAS[[#This Row],[CODIGO]],INVENTARIO[],8,FALSE),"NO EXISTE")</f>
        <v>2500</v>
      </c>
      <c r="H13" s="5">
        <f>IFERROR(VLOOKUP(VENTAS[[#This Row],[CODIGO]],INVENTARIO[],7,FALSE),"NO EXISTE")</f>
        <v>1490</v>
      </c>
      <c r="J13" s="4">
        <f>VENTAS[[#This Row],[PRECIO DE VENTA]]*VENTAS[[#This Row],[CANTIDAD]]</f>
        <v>0</v>
      </c>
      <c r="K13" s="4">
        <f>VENTAS[[#This Row],[TOTAL DE LA VENTA]]-VENTAS[[#This Row],[COSTO UNITARIO]]*VENTAS[[#This Row],[CANTIDAD]]</f>
        <v>0</v>
      </c>
    </row>
    <row r="14" spans="1:11" x14ac:dyDescent="0.25">
      <c r="A14" t="s">
        <v>11</v>
      </c>
      <c r="C14" t="str">
        <f>TEXT(VENTAS[[#This Row],[FECHA]],"[$-es-CL]mmmm")</f>
        <v>enero</v>
      </c>
      <c r="D14" t="e" cm="1">
        <f t="array" aca="1" ref="D14" ca="1">YEAR(IF(ISNUMBER(VENTAS[[#This Row],[FECHA]]),VENTAS[[#This Row],[FECHA]],FECHA.VALOR(VENTAS[[#This Row],[FECHA]])))</f>
        <v>#NAME?</v>
      </c>
      <c r="E14" t="str">
        <f>IFERROR(VLOOKUP(VENTAS[[#This Row],[CODIGO]],INVENTARIO[],2,FALSE),"NO EXISTE")</f>
        <v>DETERGENTE PREMIUM AROMA OMO DE 3 LITROS (PACK DE 4 UNID)</v>
      </c>
      <c r="F14" t="str">
        <f>IFERROR(VLOOKUP(VENTAS[[#This Row],[CODIGO]],INVENTARIO[],3,FALSE),"NO EXISTE")</f>
        <v>LAVANDERIA</v>
      </c>
      <c r="G14" s="5">
        <f>IFERROR(VLOOKUP(VENTAS[[#This Row],[CODIGO]],INVENTARIO[],8,FALSE),"NO EXISTE")</f>
        <v>3000</v>
      </c>
      <c r="H14" s="5">
        <f>IFERROR(VLOOKUP(VENTAS[[#This Row],[CODIGO]],INVENTARIO[],7,FALSE),"NO EXISTE")</f>
        <v>1350</v>
      </c>
      <c r="J14" s="4">
        <f>VENTAS[[#This Row],[PRECIO DE VENTA]]*VENTAS[[#This Row],[CANTIDAD]]</f>
        <v>0</v>
      </c>
      <c r="K14" s="4">
        <f>VENTAS[[#This Row],[TOTAL DE LA VENTA]]-VENTAS[[#This Row],[COSTO UNITARIO]]*VENTAS[[#This Row],[CANTIDAD]]</f>
        <v>0</v>
      </c>
    </row>
    <row r="15" spans="1:11" x14ac:dyDescent="0.25">
      <c r="A15" t="s">
        <v>12</v>
      </c>
      <c r="C15" t="str">
        <f>TEXT(VENTAS[[#This Row],[FECHA]],"[$-es-CL]mmmm")</f>
        <v>enero</v>
      </c>
      <c r="D15" t="e" cm="1">
        <f t="array" aca="1" ref="D15" ca="1">YEAR(IF(ISNUMBER(VENTAS[[#This Row],[FECHA]]),VENTAS[[#This Row],[FECHA]],FECHA.VALOR(VENTAS[[#This Row],[FECHA]])))</f>
        <v>#NAME?</v>
      </c>
      <c r="E15" t="str">
        <f>IFERROR(VLOOKUP(VENTAS[[#This Row],[CODIGO]],INVENTARIO[],2,FALSE),"NO EXISTE")</f>
        <v>DETERGENTE DE BEBÉ 3 LITROS</v>
      </c>
      <c r="F15" t="str">
        <f>IFERROR(VLOOKUP(VENTAS[[#This Row],[CODIGO]],INVENTARIO[],3,FALSE),"NO EXISTE")</f>
        <v>LAVANDERIA</v>
      </c>
      <c r="G15" s="5">
        <f>IFERROR(VLOOKUP(VENTAS[[#This Row],[CODIGO]],INVENTARIO[],8,FALSE),"NO EXISTE")</f>
        <v>4000</v>
      </c>
      <c r="H15" s="5">
        <f>IFERROR(VLOOKUP(VENTAS[[#This Row],[CODIGO]],INVENTARIO[],7,FALSE),"NO EXISTE")</f>
        <v>2450</v>
      </c>
      <c r="J15" s="4">
        <f>VENTAS[[#This Row],[PRECIO DE VENTA]]*VENTAS[[#This Row],[CANTIDAD]]</f>
        <v>0</v>
      </c>
      <c r="K15" s="4">
        <f>VENTAS[[#This Row],[TOTAL DE LA VENTA]]-VENTAS[[#This Row],[COSTO UNITARIO]]*VENTAS[[#This Row],[CANTIDAD]]</f>
        <v>0</v>
      </c>
    </row>
    <row r="16" spans="1:11" x14ac:dyDescent="0.25">
      <c r="A16" t="s">
        <v>13</v>
      </c>
      <c r="C16" t="str">
        <f>TEXT(VENTAS[[#This Row],[FECHA]],"[$-es-CL]mmmm")</f>
        <v>enero</v>
      </c>
      <c r="D16" t="e" cm="1">
        <f t="array" aca="1" ref="D16" ca="1">YEAR(IF(ISNUMBER(VENTAS[[#This Row],[FECHA]]),VENTAS[[#This Row],[FECHA]],FECHA.VALOR(VENTAS[[#This Row],[FECHA]])))</f>
        <v>#NAME?</v>
      </c>
      <c r="E16" t="str">
        <f>IFERROR(VLOOKUP(VENTAS[[#This Row],[CODIGO]],INVENTARIO[],2,FALSE),"NO EXISTE")</f>
        <v>DETERGENTE OMO PARA DILUIR 3 LITROS</v>
      </c>
      <c r="F16" t="str">
        <f>IFERROR(VLOOKUP(VENTAS[[#This Row],[CODIGO]],INVENTARIO[],3,FALSE),"NO EXISTE")</f>
        <v>LAVANDERIA</v>
      </c>
      <c r="G16" s="5">
        <f>IFERROR(VLOOKUP(VENTAS[[#This Row],[CODIGO]],INVENTARIO[],8,FALSE),"NO EXISTE")</f>
        <v>4500</v>
      </c>
      <c r="H16" s="5">
        <f>IFERROR(VLOOKUP(VENTAS[[#This Row],[CODIGO]],INVENTARIO[],7,FALSE),"NO EXISTE")</f>
        <v>3490</v>
      </c>
      <c r="J16" s="4">
        <f>VENTAS[[#This Row],[PRECIO DE VENTA]]*VENTAS[[#This Row],[CANTIDAD]]</f>
        <v>0</v>
      </c>
      <c r="K16" s="4">
        <f>VENTAS[[#This Row],[TOTAL DE LA VENTA]]-VENTAS[[#This Row],[COSTO UNITARIO]]*VENTAS[[#This Row],[CANTIDAD]]</f>
        <v>0</v>
      </c>
    </row>
    <row r="17" spans="1:11" x14ac:dyDescent="0.25">
      <c r="A17" t="s">
        <v>14</v>
      </c>
      <c r="C17" t="str">
        <f>TEXT(VENTAS[[#This Row],[FECHA]],"[$-es-CL]mmmm")</f>
        <v>enero</v>
      </c>
      <c r="D17" t="e" cm="1">
        <f t="array" aca="1" ref="D17" ca="1">YEAR(IF(ISNUMBER(VENTAS[[#This Row],[FECHA]]),VENTAS[[#This Row],[FECHA]],FECHA.VALOR(VENTAS[[#This Row],[FECHA]])))</f>
        <v>#NAME?</v>
      </c>
      <c r="E17" t="str">
        <f>IFERROR(VLOOKUP(VENTAS[[#This Row],[CODIGO]],INVENTARIO[],2,FALSE),"NO EXISTE")</f>
        <v>DETERGENTE OMO DE 400 ML</v>
      </c>
      <c r="F17" t="str">
        <f>IFERROR(VLOOKUP(VENTAS[[#This Row],[CODIGO]],INVENTARIO[],3,FALSE),"NO EXISTE")</f>
        <v>LAVANDERIA</v>
      </c>
      <c r="G17" s="5">
        <f>IFERROR(VLOOKUP(VENTAS[[#This Row],[CODIGO]],INVENTARIO[],8,FALSE),"NO EXISTE")</f>
        <v>1000</v>
      </c>
      <c r="H17" s="5">
        <f>IFERROR(VLOOKUP(VENTAS[[#This Row],[CODIGO]],INVENTARIO[],7,FALSE),"NO EXISTE")</f>
        <v>690</v>
      </c>
      <c r="J17" s="4">
        <f>VENTAS[[#This Row],[PRECIO DE VENTA]]*VENTAS[[#This Row],[CANTIDAD]]</f>
        <v>0</v>
      </c>
      <c r="K17" s="4">
        <f>VENTAS[[#This Row],[TOTAL DE LA VENTA]]-VENTAS[[#This Row],[COSTO UNITARIO]]*VENTAS[[#This Row],[CANTIDAD]]</f>
        <v>0</v>
      </c>
    </row>
    <row r="18" spans="1:11" x14ac:dyDescent="0.25">
      <c r="A18" t="s">
        <v>15</v>
      </c>
      <c r="C18" t="str">
        <f>TEXT(VENTAS[[#This Row],[FECHA]],"[$-es-CL]mmmm")</f>
        <v>enero</v>
      </c>
      <c r="D18" t="e" cm="1">
        <f t="array" aca="1" ref="D18" ca="1">YEAR(IF(ISNUMBER(VENTAS[[#This Row],[FECHA]]),VENTAS[[#This Row],[FECHA]],FECHA.VALOR(VENTAS[[#This Row],[FECHA]])))</f>
        <v>#NAME?</v>
      </c>
      <c r="E18" t="str">
        <f>IFERROR(VLOOKUP(VENTAS[[#This Row],[CODIGO]],INVENTARIO[],2,FALSE),"NO EXISTE")</f>
        <v xml:space="preserve">DETERGENTE OMO LIQUIDO BIDÓN 3 LITROS </v>
      </c>
      <c r="F18" t="str">
        <f>IFERROR(VLOOKUP(VENTAS[[#This Row],[CODIGO]],INVENTARIO[],3,FALSE),"NO EXISTE")</f>
        <v>LAVANDERIA</v>
      </c>
      <c r="G18" s="5">
        <f>IFERROR(VLOOKUP(VENTAS[[#This Row],[CODIGO]],INVENTARIO[],8,FALSE),"NO EXISTE")</f>
        <v>0</v>
      </c>
      <c r="H18" s="5">
        <f>IFERROR(VLOOKUP(VENTAS[[#This Row],[CODIGO]],INVENTARIO[],7,FALSE),"NO EXISTE")</f>
        <v>0</v>
      </c>
      <c r="J18" s="4">
        <f>VENTAS[[#This Row],[PRECIO DE VENTA]]*VENTAS[[#This Row],[CANTIDAD]]</f>
        <v>0</v>
      </c>
      <c r="K18" s="4">
        <f>VENTAS[[#This Row],[TOTAL DE LA VENTA]]-VENTAS[[#This Row],[COSTO UNITARIO]]*VENTAS[[#This Row],[CANTIDAD]]</f>
        <v>0</v>
      </c>
    </row>
    <row r="19" spans="1:11" x14ac:dyDescent="0.25">
      <c r="A19" t="s">
        <v>16</v>
      </c>
      <c r="C19" t="str">
        <f>TEXT(VENTAS[[#This Row],[FECHA]],"[$-es-CL]mmmm")</f>
        <v>enero</v>
      </c>
      <c r="D19" t="e" cm="1">
        <f t="array" aca="1" ref="D19" ca="1">YEAR(IF(ISNUMBER(VENTAS[[#This Row],[FECHA]]),VENTAS[[#This Row],[FECHA]],FECHA.VALOR(VENTAS[[#This Row],[FECHA]])))</f>
        <v>#NAME?</v>
      </c>
      <c r="E19" t="str">
        <f>IFERROR(VLOOKUP(VENTAS[[#This Row],[CODIGO]],INVENTARIO[],2,FALSE),"NO EXISTE")</f>
        <v>DETERGENTE BIO KLINNING AZUL</v>
      </c>
      <c r="F19" t="str">
        <f>IFERROR(VLOOKUP(VENTAS[[#This Row],[CODIGO]],INVENTARIO[],3,FALSE),"NO EXISTE")</f>
        <v>LAVANDERIA</v>
      </c>
      <c r="G19" s="5">
        <f>IFERROR(VLOOKUP(VENTAS[[#This Row],[CODIGO]],INVENTARIO[],8,FALSE),"NO EXISTE")</f>
        <v>0</v>
      </c>
      <c r="H19" s="5">
        <f>IFERROR(VLOOKUP(VENTAS[[#This Row],[CODIGO]],INVENTARIO[],7,FALSE),"NO EXISTE")</f>
        <v>950</v>
      </c>
      <c r="J19" s="4">
        <f>VENTAS[[#This Row],[PRECIO DE VENTA]]*VENTAS[[#This Row],[CANTIDAD]]</f>
        <v>0</v>
      </c>
      <c r="K19" s="4">
        <f>VENTAS[[#This Row],[TOTAL DE LA VENTA]]-VENTAS[[#This Row],[COSTO UNITARIO]]*VENTAS[[#This Row],[CANTIDAD]]</f>
        <v>0</v>
      </c>
    </row>
    <row r="20" spans="1:11" x14ac:dyDescent="0.25">
      <c r="A20" t="s">
        <v>17</v>
      </c>
      <c r="C20" t="str">
        <f>TEXT(VENTAS[[#This Row],[FECHA]],"[$-es-CL]mmmm")</f>
        <v>enero</v>
      </c>
      <c r="D20" t="e" cm="1">
        <f t="array" aca="1" ref="D20" ca="1">YEAR(IF(ISNUMBER(VENTAS[[#This Row],[FECHA]]),VENTAS[[#This Row],[FECHA]],FECHA.VALOR(VENTAS[[#This Row],[FECHA]])))</f>
        <v>#NAME?</v>
      </c>
      <c r="E20" t="str">
        <f>IFERROR(VLOOKUP(VENTAS[[#This Row],[CODIGO]],INVENTARIO[],2,FALSE),"NO EXISTE")</f>
        <v>DETERGENTE BIO KLINNING VERDE</v>
      </c>
      <c r="F20" t="str">
        <f>IFERROR(VLOOKUP(VENTAS[[#This Row],[CODIGO]],INVENTARIO[],3,FALSE),"NO EXISTE")</f>
        <v>LAVANDERIA</v>
      </c>
      <c r="G20" s="5">
        <f>IFERROR(VLOOKUP(VENTAS[[#This Row],[CODIGO]],INVENTARIO[],8,FALSE),"NO EXISTE")</f>
        <v>0</v>
      </c>
      <c r="H20" s="5">
        <f>IFERROR(VLOOKUP(VENTAS[[#This Row],[CODIGO]],INVENTARIO[],7,FALSE),"NO EXISTE")</f>
        <v>950</v>
      </c>
      <c r="J20" s="4">
        <f>VENTAS[[#This Row],[PRECIO DE VENTA]]*VENTAS[[#This Row],[CANTIDAD]]</f>
        <v>0</v>
      </c>
      <c r="K20" s="4">
        <f>VENTAS[[#This Row],[TOTAL DE LA VENTA]]-VENTAS[[#This Row],[COSTO UNITARIO]]*VENTAS[[#This Row],[CANTIDAD]]</f>
        <v>0</v>
      </c>
    </row>
    <row r="21" spans="1:11" x14ac:dyDescent="0.25">
      <c r="A21" t="s">
        <v>18</v>
      </c>
      <c r="C21" t="str">
        <f>TEXT(VENTAS[[#This Row],[FECHA]],"[$-es-CL]mmmm")</f>
        <v>enero</v>
      </c>
      <c r="D21" t="e" cm="1">
        <f t="array" aca="1" ref="D21" ca="1">YEAR(IF(ISNUMBER(VENTAS[[#This Row],[FECHA]]),VENTAS[[#This Row],[FECHA]],FECHA.VALOR(VENTAS[[#This Row],[FECHA]])))</f>
        <v>#NAME?</v>
      </c>
      <c r="E21" t="str">
        <f>IFERROR(VLOOKUP(VENTAS[[#This Row],[CODIGO]],INVENTARIO[],2,FALSE),"NO EXISTE")</f>
        <v>DETERGENTE SOFT LIQUIDO BIDÓN DE 3 LITROS</v>
      </c>
      <c r="F21" t="str">
        <f>IFERROR(VLOOKUP(VENTAS[[#This Row],[CODIGO]],INVENTARIO[],3,FALSE),"NO EXISTE")</f>
        <v>LAVANDERIA</v>
      </c>
      <c r="G21" s="5">
        <f>IFERROR(VLOOKUP(VENTAS[[#This Row],[CODIGO]],INVENTARIO[],8,FALSE),"NO EXISTE")</f>
        <v>0</v>
      </c>
      <c r="H21" s="5">
        <f>IFERROR(VLOOKUP(VENTAS[[#This Row],[CODIGO]],INVENTARIO[],7,FALSE),"NO EXISTE")</f>
        <v>0</v>
      </c>
      <c r="J21" s="4">
        <f>VENTAS[[#This Row],[PRECIO DE VENTA]]*VENTAS[[#This Row],[CANTIDAD]]</f>
        <v>0</v>
      </c>
      <c r="K21" s="4">
        <f>VENTAS[[#This Row],[TOTAL DE LA VENTA]]-VENTAS[[#This Row],[COSTO UNITARIO]]*VENTAS[[#This Row],[CANTIDAD]]</f>
        <v>0</v>
      </c>
    </row>
    <row r="22" spans="1:11" x14ac:dyDescent="0.25">
      <c r="A22" t="s">
        <v>19</v>
      </c>
      <c r="C22" t="str">
        <f>TEXT(VENTAS[[#This Row],[FECHA]],"[$-es-CL]mmmm")</f>
        <v>enero</v>
      </c>
      <c r="D22" t="e" cm="1">
        <f t="array" aca="1" ref="D22" ca="1">YEAR(IF(ISNUMBER(VENTAS[[#This Row],[FECHA]]),VENTAS[[#This Row],[FECHA]],FECHA.VALOR(VENTAS[[#This Row],[FECHA]])))</f>
        <v>#NAME?</v>
      </c>
      <c r="E22" t="str">
        <f>IFERROR(VLOOKUP(VENTAS[[#This Row],[CODIGO]],INVENTARIO[],2,FALSE),"NO EXISTE")</f>
        <v>DETERGENTE EN POLVO QUITA MANCHA ROSADO</v>
      </c>
      <c r="F22" t="str">
        <f>IFERROR(VLOOKUP(VENTAS[[#This Row],[CODIGO]],INVENTARIO[],3,FALSE),"NO EXISTE")</f>
        <v>LAVANDERIA</v>
      </c>
      <c r="G22" s="5">
        <f>IFERROR(VLOOKUP(VENTAS[[#This Row],[CODIGO]],INVENTARIO[],8,FALSE),"NO EXISTE")</f>
        <v>1000</v>
      </c>
      <c r="H22" s="5">
        <f>IFERROR(VLOOKUP(VENTAS[[#This Row],[CODIGO]],INVENTARIO[],7,FALSE),"NO EXISTE")</f>
        <v>490</v>
      </c>
      <c r="J22" s="4">
        <f>VENTAS[[#This Row],[PRECIO DE VENTA]]*VENTAS[[#This Row],[CANTIDAD]]</f>
        <v>0</v>
      </c>
      <c r="K22" s="4">
        <f>VENTAS[[#This Row],[TOTAL DE LA VENTA]]-VENTAS[[#This Row],[COSTO UNITARIO]]*VENTAS[[#This Row],[CANTIDAD]]</f>
        <v>0</v>
      </c>
    </row>
    <row r="23" spans="1:11" x14ac:dyDescent="0.25">
      <c r="A23" t="s">
        <v>20</v>
      </c>
      <c r="C23" t="str">
        <f>TEXT(VENTAS[[#This Row],[FECHA]],"[$-es-CL]mmmm")</f>
        <v>enero</v>
      </c>
      <c r="D23" t="e" cm="1">
        <f t="array" aca="1" ref="D23" ca="1">YEAR(IF(ISNUMBER(VENTAS[[#This Row],[FECHA]]),VENTAS[[#This Row],[FECHA]],FECHA.VALOR(VENTAS[[#This Row],[FECHA]])))</f>
        <v>#NAME?</v>
      </c>
      <c r="E23" t="str">
        <f>IFERROR(VLOOKUP(VENTAS[[#This Row],[CODIGO]],INVENTARIO[],2,FALSE),"NO EXISTE")</f>
        <v>DETERGENTE EN POLVO QUITA MANCHA MORADO</v>
      </c>
      <c r="F23" t="str">
        <f>IFERROR(VLOOKUP(VENTAS[[#This Row],[CODIGO]],INVENTARIO[],3,FALSE),"NO EXISTE")</f>
        <v>LAVANDERIA</v>
      </c>
      <c r="G23" s="5">
        <f>IFERROR(VLOOKUP(VENTAS[[#This Row],[CODIGO]],INVENTARIO[],8,FALSE),"NO EXISTE")</f>
        <v>1000</v>
      </c>
      <c r="H23" s="5">
        <f>IFERROR(VLOOKUP(VENTAS[[#This Row],[CODIGO]],INVENTARIO[],7,FALSE),"NO EXISTE")</f>
        <v>490</v>
      </c>
      <c r="J23" s="4">
        <f>VENTAS[[#This Row],[PRECIO DE VENTA]]*VENTAS[[#This Row],[CANTIDAD]]</f>
        <v>0</v>
      </c>
      <c r="K23" s="4">
        <f>VENTAS[[#This Row],[TOTAL DE LA VENTA]]-VENTAS[[#This Row],[COSTO UNITARIO]]*VENTAS[[#This Row],[CANTIDAD]]</f>
        <v>0</v>
      </c>
    </row>
    <row r="24" spans="1:11" x14ac:dyDescent="0.25">
      <c r="A24" t="s">
        <v>21</v>
      </c>
      <c r="C24" t="str">
        <f>TEXT(VENTAS[[#This Row],[FECHA]],"[$-es-CL]mmmm")</f>
        <v>enero</v>
      </c>
      <c r="D24" t="e" cm="1">
        <f t="array" aca="1" ref="D24" ca="1">YEAR(IF(ISNUMBER(VENTAS[[#This Row],[FECHA]]),VENTAS[[#This Row],[FECHA]],FECHA.VALOR(VENTAS[[#This Row],[FECHA]])))</f>
        <v>#NAME?</v>
      </c>
      <c r="E24" t="str">
        <f>IFERROR(VLOOKUP(VENTAS[[#This Row],[CODIGO]],INVENTARIO[],2,FALSE),"NO EXISTE")</f>
        <v>DETERGENTE EN POLVO VIRGINIA</v>
      </c>
      <c r="F24" t="str">
        <f>IFERROR(VLOOKUP(VENTAS[[#This Row],[CODIGO]],INVENTARIO[],3,FALSE),"NO EXISTE")</f>
        <v>LAVANDERIA</v>
      </c>
      <c r="G24" s="5">
        <f>IFERROR(VLOOKUP(VENTAS[[#This Row],[CODIGO]],INVENTARIO[],8,FALSE),"NO EXISTE")</f>
        <v>2000</v>
      </c>
      <c r="H24" s="5">
        <f>IFERROR(VLOOKUP(VENTAS[[#This Row],[CODIGO]],INVENTARIO[],7,FALSE),"NO EXISTE")</f>
        <v>890</v>
      </c>
      <c r="J24" s="4">
        <f>VENTAS[[#This Row],[PRECIO DE VENTA]]*VENTAS[[#This Row],[CANTIDAD]]</f>
        <v>0</v>
      </c>
      <c r="K24" s="4">
        <f>VENTAS[[#This Row],[TOTAL DE LA VENTA]]-VENTAS[[#This Row],[COSTO UNITARIO]]*VENTAS[[#This Row],[CANTIDAD]]</f>
        <v>0</v>
      </c>
    </row>
    <row r="25" spans="1:11" x14ac:dyDescent="0.25">
      <c r="A25" t="s">
        <v>22</v>
      </c>
      <c r="C25" t="str">
        <f>TEXT(VENTAS[[#This Row],[FECHA]],"[$-es-CL]mmmm")</f>
        <v>enero</v>
      </c>
      <c r="D25" t="e" cm="1">
        <f t="array" aca="1" ref="D25" ca="1">YEAR(IF(ISNUMBER(VENTAS[[#This Row],[FECHA]]),VENTAS[[#This Row],[FECHA]],FECHA.VALOR(VENTAS[[#This Row],[FECHA]])))</f>
        <v>#NAME?</v>
      </c>
      <c r="E25" t="str">
        <f>IFERROR(VLOOKUP(VENTAS[[#This Row],[CODIGO]],INVENTARIO[],2,FALSE),"NO EXISTE")</f>
        <v>CLORO ROPA BLANCA SPUM DE 1 LITRO</v>
      </c>
      <c r="F25" t="str">
        <f>IFERROR(VLOOKUP(VENTAS[[#This Row],[CODIGO]],INVENTARIO[],3,FALSE),"NO EXISTE")</f>
        <v>LAVANDERIA</v>
      </c>
      <c r="G25" s="5">
        <f>IFERROR(VLOOKUP(VENTAS[[#This Row],[CODIGO]],INVENTARIO[],8,FALSE),"NO EXISTE")</f>
        <v>1500</v>
      </c>
      <c r="H25" s="5">
        <f>IFERROR(VLOOKUP(VENTAS[[#This Row],[CODIGO]],INVENTARIO[],7,FALSE),"NO EXISTE")</f>
        <v>733</v>
      </c>
      <c r="J25" s="4">
        <f>VENTAS[[#This Row],[PRECIO DE VENTA]]*VENTAS[[#This Row],[CANTIDAD]]</f>
        <v>0</v>
      </c>
      <c r="K25" s="4">
        <f>VENTAS[[#This Row],[TOTAL DE LA VENTA]]-VENTAS[[#This Row],[COSTO UNITARIO]]*VENTAS[[#This Row],[CANTIDAD]]</f>
        <v>0</v>
      </c>
    </row>
    <row r="26" spans="1:11" x14ac:dyDescent="0.25">
      <c r="A26" t="s">
        <v>23</v>
      </c>
      <c r="C26" t="str">
        <f>TEXT(VENTAS[[#This Row],[FECHA]],"[$-es-CL]mmmm")</f>
        <v>enero</v>
      </c>
      <c r="D26" t="e" cm="1">
        <f t="array" aca="1" ref="D26" ca="1">YEAR(IF(ISNUMBER(VENTAS[[#This Row],[FECHA]]),VENTAS[[#This Row],[FECHA]],FECHA.VALOR(VENTAS[[#This Row],[FECHA]])))</f>
        <v>#NAME?</v>
      </c>
      <c r="E26" t="str">
        <f>IFERROR(VLOOKUP(VENTAS[[#This Row],[CODIGO]],INVENTARIO[],2,FALSE),"NO EXISTE")</f>
        <v>CLORO ROPA A COLOR SPUM DE 1 LITRO</v>
      </c>
      <c r="F26" t="str">
        <f>IFERROR(VLOOKUP(VENTAS[[#This Row],[CODIGO]],INVENTARIO[],3,FALSE),"NO EXISTE")</f>
        <v>LAVANDERIA</v>
      </c>
      <c r="G26" s="5">
        <f>IFERROR(VLOOKUP(VENTAS[[#This Row],[CODIGO]],INVENTARIO[],8,FALSE),"NO EXISTE")</f>
        <v>1500</v>
      </c>
      <c r="H26" s="5">
        <f>IFERROR(VLOOKUP(VENTAS[[#This Row],[CODIGO]],INVENTARIO[],7,FALSE),"NO EXISTE")</f>
        <v>666</v>
      </c>
      <c r="J26" s="4">
        <f>VENTAS[[#This Row],[PRECIO DE VENTA]]*VENTAS[[#This Row],[CANTIDAD]]</f>
        <v>0</v>
      </c>
      <c r="K26" s="4">
        <f>VENTAS[[#This Row],[TOTAL DE LA VENTA]]-VENTAS[[#This Row],[COSTO UNITARIO]]*VENTAS[[#This Row],[CANTIDAD]]</f>
        <v>0</v>
      </c>
    </row>
    <row r="27" spans="1:11" x14ac:dyDescent="0.25">
      <c r="A27" t="s">
        <v>24</v>
      </c>
      <c r="C27" t="str">
        <f>TEXT(VENTAS[[#This Row],[FECHA]],"[$-es-CL]mmmm")</f>
        <v>enero</v>
      </c>
      <c r="D27" t="e" cm="1">
        <f t="array" aca="1" ref="D27" ca="1">YEAR(IF(ISNUMBER(VENTAS[[#This Row],[FECHA]]),VENTAS[[#This Row],[FECHA]],FECHA.VALOR(VENTAS[[#This Row],[FECHA]])))</f>
        <v>#NAME?</v>
      </c>
      <c r="E27" t="str">
        <f>IFERROR(VLOOKUP(VENTAS[[#This Row],[CODIGO]],INVENTARIO[],2,FALSE),"NO EXISTE")</f>
        <v xml:space="preserve">VANISH BLANCO </v>
      </c>
      <c r="F27" t="str">
        <f>IFERROR(VLOOKUP(VENTAS[[#This Row],[CODIGO]],INVENTARIO[],3,FALSE),"NO EXISTE")</f>
        <v>LAVANDERIA</v>
      </c>
      <c r="G27" s="5">
        <f>IFERROR(VLOOKUP(VENTAS[[#This Row],[CODIGO]],INVENTARIO[],8,FALSE),"NO EXISTE")</f>
        <v>650</v>
      </c>
      <c r="H27" s="5">
        <f>IFERROR(VLOOKUP(VENTAS[[#This Row],[CODIGO]],INVENTARIO[],7,FALSE),"NO EXISTE")</f>
        <v>303</v>
      </c>
      <c r="J27" s="4">
        <f>VENTAS[[#This Row],[PRECIO DE VENTA]]*VENTAS[[#This Row],[CANTIDAD]]</f>
        <v>0</v>
      </c>
      <c r="K27" s="4">
        <f>VENTAS[[#This Row],[TOTAL DE LA VENTA]]-VENTAS[[#This Row],[COSTO UNITARIO]]*VENTAS[[#This Row],[CANTIDAD]]</f>
        <v>0</v>
      </c>
    </row>
    <row r="28" spans="1:11" x14ac:dyDescent="0.25">
      <c r="A28" t="s">
        <v>25</v>
      </c>
      <c r="C28" t="str">
        <f>TEXT(VENTAS[[#This Row],[FECHA]],"[$-es-CL]mmmm")</f>
        <v>enero</v>
      </c>
      <c r="D28" t="e" cm="1">
        <f t="array" aca="1" ref="D28" ca="1">YEAR(IF(ISNUMBER(VENTAS[[#This Row],[FECHA]]),VENTAS[[#This Row],[FECHA]],FECHA.VALOR(VENTAS[[#This Row],[FECHA]])))</f>
        <v>#NAME?</v>
      </c>
      <c r="E28" t="str">
        <f>IFERROR(VLOOKUP(VENTAS[[#This Row],[CODIGO]],INVENTARIO[],2,FALSE),"NO EXISTE")</f>
        <v>VANISH ROSADO</v>
      </c>
      <c r="F28" t="str">
        <f>IFERROR(VLOOKUP(VENTAS[[#This Row],[CODIGO]],INVENTARIO[],3,FALSE),"NO EXISTE")</f>
        <v>LAVANDERIA</v>
      </c>
      <c r="G28" s="5">
        <f>IFERROR(VLOOKUP(VENTAS[[#This Row],[CODIGO]],INVENTARIO[],8,FALSE),"NO EXISTE")</f>
        <v>650</v>
      </c>
      <c r="H28" s="5">
        <f>IFERROR(VLOOKUP(VENTAS[[#This Row],[CODIGO]],INVENTARIO[],7,FALSE),"NO EXISTE")</f>
        <v>303</v>
      </c>
      <c r="J28" s="4">
        <f>VENTAS[[#This Row],[PRECIO DE VENTA]]*VENTAS[[#This Row],[CANTIDAD]]</f>
        <v>0</v>
      </c>
      <c r="K28" s="4">
        <f>VENTAS[[#This Row],[TOTAL DE LA VENTA]]-VENTAS[[#This Row],[COSTO UNITARIO]]*VENTAS[[#This Row],[CANTIDAD]]</f>
        <v>0</v>
      </c>
    </row>
    <row r="29" spans="1:11" x14ac:dyDescent="0.25">
      <c r="A29" t="s">
        <v>26</v>
      </c>
      <c r="C29" t="str">
        <f>TEXT(VENTAS[[#This Row],[FECHA]],"[$-es-CL]mmmm")</f>
        <v>enero</v>
      </c>
      <c r="D29" t="e" cm="1">
        <f t="array" aca="1" ref="D29" ca="1">YEAR(IF(ISNUMBER(VENTAS[[#This Row],[FECHA]]),VENTAS[[#This Row],[FECHA]],FECHA.VALOR(VENTAS[[#This Row],[FECHA]])))</f>
        <v>#NAME?</v>
      </c>
      <c r="E29" t="str">
        <f>IFERROR(VLOOKUP(VENTAS[[#This Row],[CODIGO]],INVENTARIO[],2,FALSE),"NO EXISTE")</f>
        <v>CLORO CONCENTRADO DE 5 LITROS</v>
      </c>
      <c r="F29" t="str">
        <f>IFERROR(VLOOKUP(VENTAS[[#This Row],[CODIGO]],INVENTARIO[],3,FALSE),"NO EXISTE")</f>
        <v>DESINFECCIÓN</v>
      </c>
      <c r="G29" s="5">
        <f>IFERROR(VLOOKUP(VENTAS[[#This Row],[CODIGO]],INVENTARIO[],8,FALSE),"NO EXISTE")</f>
        <v>0</v>
      </c>
      <c r="H29" s="5">
        <f>IFERROR(VLOOKUP(VENTAS[[#This Row],[CODIGO]],INVENTARIO[],7,FALSE),"NO EXISTE")</f>
        <v>0</v>
      </c>
      <c r="J29" s="4">
        <f>VENTAS[[#This Row],[PRECIO DE VENTA]]*VENTAS[[#This Row],[CANTIDAD]]</f>
        <v>0</v>
      </c>
      <c r="K29" s="4">
        <f>VENTAS[[#This Row],[TOTAL DE LA VENTA]]-VENTAS[[#This Row],[COSTO UNITARIO]]*VENTAS[[#This Row],[CANTIDAD]]</f>
        <v>0</v>
      </c>
    </row>
    <row r="30" spans="1:11" x14ac:dyDescent="0.25">
      <c r="A30" t="s">
        <v>27</v>
      </c>
      <c r="C30" t="str">
        <f>TEXT(VENTAS[[#This Row],[FECHA]],"[$-es-CL]mmmm")</f>
        <v>enero</v>
      </c>
      <c r="D30" t="e" cm="1">
        <f t="array" aca="1" ref="D30" ca="1">YEAR(IF(ISNUMBER(VENTAS[[#This Row],[FECHA]]),VENTAS[[#This Row],[FECHA]],FECHA.VALOR(VENTAS[[#This Row],[FECHA]])))</f>
        <v>#NAME?</v>
      </c>
      <c r="E30" t="str">
        <f>IFERROR(VLOOKUP(VENTAS[[#This Row],[CODIGO]],INVENTARIO[],2,FALSE),"NO EXISTE")</f>
        <v>CLORINDA DE 1 LITRO</v>
      </c>
      <c r="F30" t="str">
        <f>IFERROR(VLOOKUP(VENTAS[[#This Row],[CODIGO]],INVENTARIO[],3,FALSE),"NO EXISTE")</f>
        <v>DESINFECCIÓN</v>
      </c>
      <c r="G30" s="5">
        <f>IFERROR(VLOOKUP(VENTAS[[#This Row],[CODIGO]],INVENTARIO[],8,FALSE),"NO EXISTE")</f>
        <v>0</v>
      </c>
      <c r="H30" s="5">
        <f>IFERROR(VLOOKUP(VENTAS[[#This Row],[CODIGO]],INVENTARIO[],7,FALSE),"NO EXISTE")</f>
        <v>0</v>
      </c>
      <c r="J30" s="4">
        <f>VENTAS[[#This Row],[PRECIO DE VENTA]]*VENTAS[[#This Row],[CANTIDAD]]</f>
        <v>0</v>
      </c>
      <c r="K30" s="4">
        <f>VENTAS[[#This Row],[TOTAL DE LA VENTA]]-VENTAS[[#This Row],[COSTO UNITARIO]]*VENTAS[[#This Row],[CANTIDAD]]</f>
        <v>0</v>
      </c>
    </row>
    <row r="31" spans="1:11" x14ac:dyDescent="0.25">
      <c r="A31" t="s">
        <v>28</v>
      </c>
      <c r="C31" t="str">
        <f>TEXT(VENTAS[[#This Row],[FECHA]],"[$-es-CL]mmmm")</f>
        <v>enero</v>
      </c>
      <c r="D31" t="e" cm="1">
        <f t="array" aca="1" ref="D31" ca="1">YEAR(IF(ISNUMBER(VENTAS[[#This Row],[FECHA]]),VENTAS[[#This Row],[FECHA]],FECHA.VALOR(VENTAS[[#This Row],[FECHA]])))</f>
        <v>#NAME?</v>
      </c>
      <c r="E31" t="str">
        <f>IFERROR(VLOOKUP(VENTAS[[#This Row],[CODIGO]],INVENTARIO[],2,FALSE),"NO EXISTE")</f>
        <v>CLORO GEL CLOROX</v>
      </c>
      <c r="F31" t="str">
        <f>IFERROR(VLOOKUP(VENTAS[[#This Row],[CODIGO]],INVENTARIO[],3,FALSE),"NO EXISTE")</f>
        <v>DESINFECCIÓN</v>
      </c>
      <c r="G31" s="5">
        <f>IFERROR(VLOOKUP(VENTAS[[#This Row],[CODIGO]],INVENTARIO[],8,FALSE),"NO EXISTE")</f>
        <v>0</v>
      </c>
      <c r="H31" s="5">
        <f>IFERROR(VLOOKUP(VENTAS[[#This Row],[CODIGO]],INVENTARIO[],7,FALSE),"NO EXISTE")</f>
        <v>0</v>
      </c>
      <c r="J31" s="4">
        <f>VENTAS[[#This Row],[PRECIO DE VENTA]]*VENTAS[[#This Row],[CANTIDAD]]</f>
        <v>0</v>
      </c>
      <c r="K31" s="4">
        <f>VENTAS[[#This Row],[TOTAL DE LA VENTA]]-VENTAS[[#This Row],[COSTO UNITARIO]]*VENTAS[[#This Row],[CANTIDAD]]</f>
        <v>0</v>
      </c>
    </row>
    <row r="32" spans="1:11" x14ac:dyDescent="0.25">
      <c r="A32" t="s">
        <v>29</v>
      </c>
      <c r="C32" t="str">
        <f>TEXT(VENTAS[[#This Row],[FECHA]],"[$-es-CL]mmmm")</f>
        <v>enero</v>
      </c>
      <c r="D32" t="e" cm="1">
        <f t="array" aca="1" ref="D32" ca="1">YEAR(IF(ISNUMBER(VENTAS[[#This Row],[FECHA]]),VENTAS[[#This Row],[FECHA]],FECHA.VALOR(VENTAS[[#This Row],[FECHA]])))</f>
        <v>#NAME?</v>
      </c>
      <c r="E32" t="str">
        <f>IFERROR(VLOOKUP(VENTAS[[#This Row],[CODIGO]],INVENTARIO[],2,FALSE),"NO EXISTE")</f>
        <v>CLORO IGENIX LIQUIDO</v>
      </c>
      <c r="F32" t="str">
        <f>IFERROR(VLOOKUP(VENTAS[[#This Row],[CODIGO]],INVENTARIO[],3,FALSE),"NO EXISTE")</f>
        <v>DESINFECCIÓN</v>
      </c>
      <c r="G32" s="5">
        <f>IFERROR(VLOOKUP(VENTAS[[#This Row],[CODIGO]],INVENTARIO[],8,FALSE),"NO EXISTE")</f>
        <v>1000</v>
      </c>
      <c r="H32" s="5">
        <f>IFERROR(VLOOKUP(VENTAS[[#This Row],[CODIGO]],INVENTARIO[],7,FALSE),"NO EXISTE")</f>
        <v>690</v>
      </c>
      <c r="J32" s="4">
        <f>VENTAS[[#This Row],[PRECIO DE VENTA]]*VENTAS[[#This Row],[CANTIDAD]]</f>
        <v>0</v>
      </c>
      <c r="K32" s="4">
        <f>VENTAS[[#This Row],[TOTAL DE LA VENTA]]-VENTAS[[#This Row],[COSTO UNITARIO]]*VENTAS[[#This Row],[CANTIDAD]]</f>
        <v>0</v>
      </c>
    </row>
    <row r="33" spans="1:11" x14ac:dyDescent="0.25">
      <c r="A33" t="s">
        <v>47</v>
      </c>
      <c r="C33" t="str">
        <f>TEXT(VENTAS[[#This Row],[FECHA]],"[$-es-CL]mmmm")</f>
        <v>enero</v>
      </c>
      <c r="D33" t="e" cm="1">
        <f t="array" aca="1" ref="D33" ca="1">YEAR(IF(ISNUMBER(VENTAS[[#This Row],[FECHA]]),VENTAS[[#This Row],[FECHA]],FECHA.VALOR(VENTAS[[#This Row],[FECHA]])))</f>
        <v>#NAME?</v>
      </c>
      <c r="E33" t="str">
        <f>IFERROR(VLOOKUP(VENTAS[[#This Row],[CODIGO]],INVENTARIO[],2,FALSE),"NO EXISTE")</f>
        <v>CLORINDA CLORO GEL</v>
      </c>
      <c r="F33" t="str">
        <f>IFERROR(VLOOKUP(VENTAS[[#This Row],[CODIGO]],INVENTARIO[],3,FALSE),"NO EXISTE")</f>
        <v>DESINFECCIÓN</v>
      </c>
      <c r="G33" s="5">
        <f>IFERROR(VLOOKUP(VENTAS[[#This Row],[CODIGO]],INVENTARIO[],8,FALSE),"NO EXISTE")</f>
        <v>1900</v>
      </c>
      <c r="H33" s="5">
        <f>IFERROR(VLOOKUP(VENTAS[[#This Row],[CODIGO]],INVENTARIO[],7,FALSE),"NO EXISTE")</f>
        <v>1050</v>
      </c>
      <c r="J33" s="4">
        <f>VENTAS[[#This Row],[PRECIO DE VENTA]]*VENTAS[[#This Row],[CANTIDAD]]</f>
        <v>0</v>
      </c>
      <c r="K33" s="4">
        <f>VENTAS[[#This Row],[TOTAL DE LA VENTA]]-VENTAS[[#This Row],[COSTO UNITARIO]]*VENTAS[[#This Row],[CANTIDAD]]</f>
        <v>0</v>
      </c>
    </row>
    <row r="34" spans="1:11" x14ac:dyDescent="0.25">
      <c r="A34" t="s">
        <v>48</v>
      </c>
      <c r="C34" t="str">
        <f>TEXT(VENTAS[[#This Row],[FECHA]],"[$-es-CL]mmmm")</f>
        <v>enero</v>
      </c>
      <c r="D34" t="e" cm="1">
        <f t="array" aca="1" ref="D34" ca="1">YEAR(IF(ISNUMBER(VENTAS[[#This Row],[FECHA]]),VENTAS[[#This Row],[FECHA]],FECHA.VALOR(VENTAS[[#This Row],[FECHA]])))</f>
        <v>#NAME?</v>
      </c>
      <c r="E34" t="str">
        <f>IFERROR(VLOOKUP(VENTAS[[#This Row],[CODIGO]],INVENTARIO[],2,FALSE),"NO EXISTE")</f>
        <v>CLORINDA CLORO GEL EXCEL MORADO</v>
      </c>
      <c r="F34" t="str">
        <f>IFERROR(VLOOKUP(VENTAS[[#This Row],[CODIGO]],INVENTARIO[],3,FALSE),"NO EXISTE")</f>
        <v>DESINFECCIÓN</v>
      </c>
      <c r="G34" s="5">
        <f>IFERROR(VLOOKUP(VENTAS[[#This Row],[CODIGO]],INVENTARIO[],8,FALSE),"NO EXISTE")</f>
        <v>1300</v>
      </c>
      <c r="H34" s="5">
        <f>IFERROR(VLOOKUP(VENTAS[[#This Row],[CODIGO]],INVENTARIO[],7,FALSE),"NO EXISTE")</f>
        <v>797</v>
      </c>
      <c r="J34" s="4">
        <f>VENTAS[[#This Row],[PRECIO DE VENTA]]*VENTAS[[#This Row],[CANTIDAD]]</f>
        <v>0</v>
      </c>
      <c r="K34" s="4">
        <f>VENTAS[[#This Row],[TOTAL DE LA VENTA]]-VENTAS[[#This Row],[COSTO UNITARIO]]*VENTAS[[#This Row],[CANTIDAD]]</f>
        <v>0</v>
      </c>
    </row>
    <row r="35" spans="1:11" x14ac:dyDescent="0.25">
      <c r="A35" t="s">
        <v>49</v>
      </c>
      <c r="C35" t="str">
        <f>TEXT(VENTAS[[#This Row],[FECHA]],"[$-es-CL]mmmm")</f>
        <v>enero</v>
      </c>
      <c r="D35" t="e" cm="1">
        <f t="array" aca="1" ref="D35" ca="1">YEAR(IF(ISNUMBER(VENTAS[[#This Row],[FECHA]]),VENTAS[[#This Row],[FECHA]],FECHA.VALOR(VENTAS[[#This Row],[FECHA]])))</f>
        <v>#NAME?</v>
      </c>
      <c r="E35" t="str">
        <f>IFERROR(VLOOKUP(VENTAS[[#This Row],[CODIGO]],INVENTARIO[],2,FALSE),"NO EXISTE")</f>
        <v>CLORINDA CLORO GEL EXCEL AMARILLO</v>
      </c>
      <c r="F35" t="str">
        <f>IFERROR(VLOOKUP(VENTAS[[#This Row],[CODIGO]],INVENTARIO[],3,FALSE),"NO EXISTE")</f>
        <v>DESINFECCIÓN</v>
      </c>
      <c r="G35" s="5">
        <f>IFERROR(VLOOKUP(VENTAS[[#This Row],[CODIGO]],INVENTARIO[],8,FALSE),"NO EXISTE")</f>
        <v>1300</v>
      </c>
      <c r="H35" s="5">
        <f>IFERROR(VLOOKUP(VENTAS[[#This Row],[CODIGO]],INVENTARIO[],7,FALSE),"NO EXISTE")</f>
        <v>797</v>
      </c>
      <c r="J35" s="4">
        <f>VENTAS[[#This Row],[PRECIO DE VENTA]]*VENTAS[[#This Row],[CANTIDAD]]</f>
        <v>0</v>
      </c>
      <c r="K35" s="4">
        <f>VENTAS[[#This Row],[TOTAL DE LA VENTA]]-VENTAS[[#This Row],[COSTO UNITARIO]]*VENTAS[[#This Row],[CANTIDAD]]</f>
        <v>0</v>
      </c>
    </row>
    <row r="36" spans="1:11" x14ac:dyDescent="0.25">
      <c r="A36" t="s">
        <v>50</v>
      </c>
      <c r="C36" t="str">
        <f>TEXT(VENTAS[[#This Row],[FECHA]],"[$-es-CL]mmmm")</f>
        <v>enero</v>
      </c>
      <c r="D36" t="e" cm="1">
        <f t="array" aca="1" ref="D36" ca="1">YEAR(IF(ISNUMBER(VENTAS[[#This Row],[FECHA]]),VENTAS[[#This Row],[FECHA]],FECHA.VALOR(VENTAS[[#This Row],[FECHA]])))</f>
        <v>#NAME?</v>
      </c>
      <c r="E36" t="str">
        <f>IFERROR(VLOOKUP(VENTAS[[#This Row],[CODIGO]],INVENTARIO[],2,FALSE),"NO EXISTE")</f>
        <v>ANTIGRASA SPUM DE 2 LITROS</v>
      </c>
      <c r="F36" t="str">
        <f>IFERROR(VLOOKUP(VENTAS[[#This Row],[CODIGO]],INVENTARIO[],3,FALSE),"NO EXISTE")</f>
        <v>COCINA</v>
      </c>
      <c r="G36" s="5">
        <f>IFERROR(VLOOKUP(VENTAS[[#This Row],[CODIGO]],INVENTARIO[],8,FALSE),"NO EXISTE")</f>
        <v>2000</v>
      </c>
      <c r="H36" s="5">
        <f>IFERROR(VLOOKUP(VENTAS[[#This Row],[CODIGO]],INVENTARIO[],7,FALSE),"NO EXISTE")</f>
        <v>1049</v>
      </c>
      <c r="J36" s="4">
        <f>VENTAS[[#This Row],[PRECIO DE VENTA]]*VENTAS[[#This Row],[CANTIDAD]]</f>
        <v>0</v>
      </c>
      <c r="K36" s="4">
        <f>VENTAS[[#This Row],[TOTAL DE LA VENTA]]-VENTAS[[#This Row],[COSTO UNITARIO]]*VENTAS[[#This Row],[CANTIDAD]]</f>
        <v>0</v>
      </c>
    </row>
    <row r="37" spans="1:11" x14ac:dyDescent="0.25">
      <c r="A37" t="s">
        <v>51</v>
      </c>
      <c r="C37" t="str">
        <f>TEXT(VENTAS[[#This Row],[FECHA]],"[$-es-CL]mmmm")</f>
        <v>enero</v>
      </c>
      <c r="D37" t="e" cm="1">
        <f t="array" aca="1" ref="D37" ca="1">YEAR(IF(ISNUMBER(VENTAS[[#This Row],[FECHA]]),VENTAS[[#This Row],[FECHA]],FECHA.VALOR(VENTAS[[#This Row],[FECHA]])))</f>
        <v>#NAME?</v>
      </c>
      <c r="E37" t="str">
        <f>IFERROR(VLOOKUP(VENTAS[[#This Row],[CODIGO]],INVENTARIO[],2,FALSE),"NO EXISTE")</f>
        <v>ANTIGRASA SPUM DE 500 ML</v>
      </c>
      <c r="F37" t="str">
        <f>IFERROR(VLOOKUP(VENTAS[[#This Row],[CODIGO]],INVENTARIO[],3,FALSE),"NO EXISTE")</f>
        <v>COCINA</v>
      </c>
      <c r="G37" s="5">
        <f>IFERROR(VLOOKUP(VENTAS[[#This Row],[CODIGO]],INVENTARIO[],8,FALSE),"NO EXISTE")</f>
        <v>1400</v>
      </c>
      <c r="H37" s="5">
        <f>IFERROR(VLOOKUP(VENTAS[[#This Row],[CODIGO]],INVENTARIO[],7,FALSE),"NO EXISTE")</f>
        <v>700</v>
      </c>
      <c r="J37" s="4">
        <f>VENTAS[[#This Row],[PRECIO DE VENTA]]*VENTAS[[#This Row],[CANTIDAD]]</f>
        <v>0</v>
      </c>
      <c r="K37" s="4">
        <f>VENTAS[[#This Row],[TOTAL DE LA VENTA]]-VENTAS[[#This Row],[COSTO UNITARIO]]*VENTAS[[#This Row],[CANTIDAD]]</f>
        <v>0</v>
      </c>
    </row>
    <row r="38" spans="1:11" x14ac:dyDescent="0.25">
      <c r="A38" t="s">
        <v>53</v>
      </c>
      <c r="C38" t="str">
        <f>TEXT(VENTAS[[#This Row],[FECHA]],"[$-es-CL]mmmm")</f>
        <v>enero</v>
      </c>
      <c r="D38" t="e" cm="1">
        <f t="array" aca="1" ref="D38" ca="1">YEAR(IF(ISNUMBER(VENTAS[[#This Row],[FECHA]]),VENTAS[[#This Row],[FECHA]],FECHA.VALOR(VENTAS[[#This Row],[FECHA]])))</f>
        <v>#NAME?</v>
      </c>
      <c r="E38" t="str">
        <f>IFERROR(VLOOKUP(VENTAS[[#This Row],[CODIGO]],INVENTARIO[],2,FALSE),"NO EXISTE")</f>
        <v>SACASARRO SPUM DE 2 LITROS</v>
      </c>
      <c r="F38" t="str">
        <f>IFERROR(VLOOKUP(VENTAS[[#This Row],[CODIGO]],INVENTARIO[],3,FALSE),"NO EXISTE")</f>
        <v>COCINA</v>
      </c>
      <c r="G38" s="5">
        <f>IFERROR(VLOOKUP(VENTAS[[#This Row],[CODIGO]],INVENTARIO[],8,FALSE),"NO EXISTE")</f>
        <v>2300</v>
      </c>
      <c r="H38" s="5">
        <f>IFERROR(VLOOKUP(VENTAS[[#This Row],[CODIGO]],INVENTARIO[],7,FALSE),"NO EXISTE")</f>
        <v>888</v>
      </c>
      <c r="J38" s="4">
        <f>VENTAS[[#This Row],[PRECIO DE VENTA]]*VENTAS[[#This Row],[CANTIDAD]]</f>
        <v>0</v>
      </c>
      <c r="K38" s="4">
        <f>VENTAS[[#This Row],[TOTAL DE LA VENTA]]-VENTAS[[#This Row],[COSTO UNITARIO]]*VENTAS[[#This Row],[CANTIDAD]]</f>
        <v>0</v>
      </c>
    </row>
    <row r="39" spans="1:11" x14ac:dyDescent="0.25">
      <c r="A39" t="s">
        <v>54</v>
      </c>
      <c r="C39" t="str">
        <f>TEXT(VENTAS[[#This Row],[FECHA]],"[$-es-CL]mmmm")</f>
        <v>enero</v>
      </c>
      <c r="D39" t="e" cm="1">
        <f t="array" aca="1" ref="D39" ca="1">YEAR(IF(ISNUMBER(VENTAS[[#This Row],[FECHA]]),VENTAS[[#This Row],[FECHA]],FECHA.VALOR(VENTAS[[#This Row],[FECHA]])))</f>
        <v>#NAME?</v>
      </c>
      <c r="E39" t="str">
        <f>IFERROR(VLOOKUP(VENTAS[[#This Row],[CODIGO]],INVENTARIO[],2,FALSE),"NO EXISTE")</f>
        <v>SACASARRO SPUM DE 500 ML</v>
      </c>
      <c r="F39" t="str">
        <f>IFERROR(VLOOKUP(VENTAS[[#This Row],[CODIGO]],INVENTARIO[],3,FALSE),"NO EXISTE")</f>
        <v>COCINA</v>
      </c>
      <c r="G39" s="5">
        <f>IFERROR(VLOOKUP(VENTAS[[#This Row],[CODIGO]],INVENTARIO[],8,FALSE),"NO EXISTE")</f>
        <v>2000</v>
      </c>
      <c r="H39" s="5">
        <f>IFERROR(VLOOKUP(VENTAS[[#This Row],[CODIGO]],INVENTARIO[],7,FALSE),"NO EXISTE")</f>
        <v>970</v>
      </c>
      <c r="J39" s="4">
        <f>VENTAS[[#This Row],[PRECIO DE VENTA]]*VENTAS[[#This Row],[CANTIDAD]]</f>
        <v>0</v>
      </c>
      <c r="K39" s="4">
        <f>VENTAS[[#This Row],[TOTAL DE LA VENTA]]-VENTAS[[#This Row],[COSTO UNITARIO]]*VENTAS[[#This Row],[CANTIDAD]]</f>
        <v>0</v>
      </c>
    </row>
    <row r="40" spans="1:11" x14ac:dyDescent="0.25">
      <c r="A40" t="s">
        <v>55</v>
      </c>
      <c r="C40" t="str">
        <f>TEXT(VENTAS[[#This Row],[FECHA]],"[$-es-CL]mmmm")</f>
        <v>enero</v>
      </c>
      <c r="D40" t="e" cm="1">
        <f t="array" aca="1" ref="D40" ca="1">YEAR(IF(ISNUMBER(VENTAS[[#This Row],[FECHA]]),VENTAS[[#This Row],[FECHA]],FECHA.VALOR(VENTAS[[#This Row],[FECHA]])))</f>
        <v>#NAME?</v>
      </c>
      <c r="E40" t="str">
        <f>IFERROR(VLOOKUP(VENTAS[[#This Row],[CODIGO]],INVENTARIO[],2,FALSE),"NO EXISTE")</f>
        <v>LAVALOSA SPUM DE 1 LITRO</v>
      </c>
      <c r="F40" t="str">
        <f>IFERROR(VLOOKUP(VENTAS[[#This Row],[CODIGO]],INVENTARIO[],3,FALSE),"NO EXISTE")</f>
        <v>COCINA</v>
      </c>
      <c r="G40" s="5">
        <f>IFERROR(VLOOKUP(VENTAS[[#This Row],[CODIGO]],INVENTARIO[],8,FALSE),"NO EXISTE")</f>
        <v>1400</v>
      </c>
      <c r="H40" s="5">
        <f>IFERROR(VLOOKUP(VENTAS[[#This Row],[CODIGO]],INVENTARIO[],7,FALSE),"NO EXISTE")</f>
        <v>650</v>
      </c>
      <c r="J40" s="4">
        <f>VENTAS[[#This Row],[PRECIO DE VENTA]]*VENTAS[[#This Row],[CANTIDAD]]</f>
        <v>0</v>
      </c>
      <c r="K40" s="4">
        <f>VENTAS[[#This Row],[TOTAL DE LA VENTA]]-VENTAS[[#This Row],[COSTO UNITARIO]]*VENTAS[[#This Row],[CANTIDAD]]</f>
        <v>0</v>
      </c>
    </row>
    <row r="41" spans="1:11" x14ac:dyDescent="0.25">
      <c r="A41" t="s">
        <v>56</v>
      </c>
      <c r="C41" t="str">
        <f>TEXT(VENTAS[[#This Row],[FECHA]],"[$-es-CL]mmmm")</f>
        <v>enero</v>
      </c>
      <c r="D41" t="e" cm="1">
        <f t="array" aca="1" ref="D41" ca="1">YEAR(IF(ISNUMBER(VENTAS[[#This Row],[FECHA]]),VENTAS[[#This Row],[FECHA]],FECHA.VALOR(VENTAS[[#This Row],[FECHA]])))</f>
        <v>#NAME?</v>
      </c>
      <c r="E41" t="str">
        <f>IFERROR(VLOOKUP(VENTAS[[#This Row],[CODIGO]],INVENTARIO[],2,FALSE),"NO EXISTE")</f>
        <v>LAVALOSA SPUM DE 2 LITROS</v>
      </c>
      <c r="F41" t="str">
        <f>IFERROR(VLOOKUP(VENTAS[[#This Row],[CODIGO]],INVENTARIO[],3,FALSE),"NO EXISTE")</f>
        <v>COCINA</v>
      </c>
      <c r="G41" s="5">
        <f>IFERROR(VLOOKUP(VENTAS[[#This Row],[CODIGO]],INVENTARIO[],8,FALSE),"NO EXISTE")</f>
        <v>2300</v>
      </c>
      <c r="H41" s="5">
        <f>IFERROR(VLOOKUP(VENTAS[[#This Row],[CODIGO]],INVENTARIO[],7,FALSE),"NO EXISTE")</f>
        <v>1010</v>
      </c>
      <c r="J41" s="4">
        <f>VENTAS[[#This Row],[PRECIO DE VENTA]]*VENTAS[[#This Row],[CANTIDAD]]</f>
        <v>0</v>
      </c>
      <c r="K41" s="4">
        <f>VENTAS[[#This Row],[TOTAL DE LA VENTA]]-VENTAS[[#This Row],[COSTO UNITARIO]]*VENTAS[[#This Row],[CANTIDAD]]</f>
        <v>0</v>
      </c>
    </row>
    <row r="42" spans="1:11" x14ac:dyDescent="0.25">
      <c r="A42" t="s">
        <v>57</v>
      </c>
      <c r="C42" t="str">
        <f>TEXT(VENTAS[[#This Row],[FECHA]],"[$-es-CL]mmmm")</f>
        <v>enero</v>
      </c>
      <c r="D42" t="e" cm="1">
        <f t="array" aca="1" ref="D42" ca="1">YEAR(IF(ISNUMBER(VENTAS[[#This Row],[FECHA]]),VENTAS[[#This Row],[FECHA]],FECHA.VALOR(VENTAS[[#This Row],[FECHA]])))</f>
        <v>#NAME?</v>
      </c>
      <c r="E42" t="str">
        <f>IFERROR(VLOOKUP(VENTAS[[#This Row],[CODIGO]],INVENTARIO[],2,FALSE),"NO EXISTE")</f>
        <v>LAVALOSA SPUM DE 5 LITROS</v>
      </c>
      <c r="F42" t="str">
        <f>IFERROR(VLOOKUP(VENTAS[[#This Row],[CODIGO]],INVENTARIO[],3,FALSE),"NO EXISTE")</f>
        <v>COCINA</v>
      </c>
      <c r="G42" s="5">
        <f>IFERROR(VLOOKUP(VENTAS[[#This Row],[CODIGO]],INVENTARIO[],8,FALSE),"NO EXISTE")</f>
        <v>4000</v>
      </c>
      <c r="H42" s="5">
        <f>IFERROR(VLOOKUP(VENTAS[[#This Row],[CODIGO]],INVENTARIO[],7,FALSE),"NO EXISTE")</f>
        <v>2300</v>
      </c>
      <c r="J42" s="4">
        <f>VENTAS[[#This Row],[PRECIO DE VENTA]]*VENTAS[[#This Row],[CANTIDAD]]</f>
        <v>0</v>
      </c>
      <c r="K42" s="4">
        <f>VENTAS[[#This Row],[TOTAL DE LA VENTA]]-VENTAS[[#This Row],[COSTO UNITARIO]]*VENTAS[[#This Row],[CANTIDAD]]</f>
        <v>0</v>
      </c>
    </row>
    <row r="43" spans="1:11" x14ac:dyDescent="0.25">
      <c r="A43" t="s">
        <v>58</v>
      </c>
      <c r="C43" t="str">
        <f>TEXT(VENTAS[[#This Row],[FECHA]],"[$-es-CL]mmmm")</f>
        <v>enero</v>
      </c>
      <c r="D43" t="e" cm="1">
        <f t="array" aca="1" ref="D43" ca="1">YEAR(IF(ISNUMBER(VENTAS[[#This Row],[FECHA]]),VENTAS[[#This Row],[FECHA]],FECHA.VALOR(VENTAS[[#This Row],[FECHA]])))</f>
        <v>#NAME?</v>
      </c>
      <c r="E43" t="str">
        <f>IFERROR(VLOOKUP(VENTAS[[#This Row],[CODIGO]],INVENTARIO[],2,FALSE),"NO EXISTE")</f>
        <v>LAVALOSA QUIX</v>
      </c>
      <c r="F43" t="str">
        <f>IFERROR(VLOOKUP(VENTAS[[#This Row],[CODIGO]],INVENTARIO[],3,FALSE),"NO EXISTE")</f>
        <v>COCINA</v>
      </c>
      <c r="G43" s="5">
        <f>IFERROR(VLOOKUP(VENTAS[[#This Row],[CODIGO]],INVENTARIO[],8,FALSE),"NO EXISTE")</f>
        <v>0</v>
      </c>
      <c r="H43" s="5">
        <f>IFERROR(VLOOKUP(VENTAS[[#This Row],[CODIGO]],INVENTARIO[],7,FALSE),"NO EXISTE")</f>
        <v>0</v>
      </c>
      <c r="J43" s="4">
        <f>VENTAS[[#This Row],[PRECIO DE VENTA]]*VENTAS[[#This Row],[CANTIDAD]]</f>
        <v>0</v>
      </c>
      <c r="K43" s="4">
        <f>VENTAS[[#This Row],[TOTAL DE LA VENTA]]-VENTAS[[#This Row],[COSTO UNITARIO]]*VENTAS[[#This Row],[CANTIDAD]]</f>
        <v>0</v>
      </c>
    </row>
    <row r="44" spans="1:11" x14ac:dyDescent="0.25">
      <c r="A44" t="s">
        <v>59</v>
      </c>
      <c r="C44" t="str">
        <f>TEXT(VENTAS[[#This Row],[FECHA]],"[$-es-CL]mmmm")</f>
        <v>enero</v>
      </c>
      <c r="D44" t="e" cm="1">
        <f t="array" aca="1" ref="D44" ca="1">YEAR(IF(ISNUMBER(VENTAS[[#This Row],[FECHA]]),VENTAS[[#This Row],[FECHA]],FECHA.VALOR(VENTAS[[#This Row],[FECHA]])))</f>
        <v>#NAME?</v>
      </c>
      <c r="E44" t="str">
        <f>IFERROR(VLOOKUP(VENTAS[[#This Row],[CODIGO]],INVENTARIO[],2,FALSE),"NO EXISTE")</f>
        <v>CIF</v>
      </c>
      <c r="F44" t="str">
        <f>IFERROR(VLOOKUP(VENTAS[[#This Row],[CODIGO]],INVENTARIO[],3,FALSE),"NO EXISTE")</f>
        <v>COCINA</v>
      </c>
      <c r="G44" s="5">
        <f>IFERROR(VLOOKUP(VENTAS[[#This Row],[CODIGO]],INVENTARIO[],8,FALSE),"NO EXISTE")</f>
        <v>2200</v>
      </c>
      <c r="H44" s="5">
        <f>IFERROR(VLOOKUP(VENTAS[[#This Row],[CODIGO]],INVENTARIO[],7,FALSE),"NO EXISTE")</f>
        <v>1010</v>
      </c>
      <c r="J44" s="4">
        <f>VENTAS[[#This Row],[PRECIO DE VENTA]]*VENTAS[[#This Row],[CANTIDAD]]</f>
        <v>0</v>
      </c>
      <c r="K44" s="4">
        <f>VENTAS[[#This Row],[TOTAL DE LA VENTA]]-VENTAS[[#This Row],[COSTO UNITARIO]]*VENTAS[[#This Row],[CANTIDAD]]</f>
        <v>0</v>
      </c>
    </row>
    <row r="45" spans="1:11" x14ac:dyDescent="0.25">
      <c r="A45" t="s">
        <v>60</v>
      </c>
      <c r="C45" t="str">
        <f>TEXT(VENTAS[[#This Row],[FECHA]],"[$-es-CL]mmmm")</f>
        <v>enero</v>
      </c>
      <c r="D45" t="e" cm="1">
        <f t="array" aca="1" ref="D45" ca="1">YEAR(IF(ISNUMBER(VENTAS[[#This Row],[FECHA]]),VENTAS[[#This Row],[FECHA]],FECHA.VALOR(VENTAS[[#This Row],[FECHA]])))</f>
        <v>#NAME?</v>
      </c>
      <c r="E45" t="str">
        <f>IFERROR(VLOOKUP(VENTAS[[#This Row],[CODIGO]],INVENTARIO[],2,FALSE),"NO EXISTE")</f>
        <v>LUSTRA MUEBLES</v>
      </c>
      <c r="F45" t="str">
        <f>IFERROR(VLOOKUP(VENTAS[[#This Row],[CODIGO]],INVENTARIO[],3,FALSE),"NO EXISTE")</f>
        <v>COCINA</v>
      </c>
      <c r="G45" s="5">
        <f>IFERROR(VLOOKUP(VENTAS[[#This Row],[CODIGO]],INVENTARIO[],8,FALSE),"NO EXISTE")</f>
        <v>1500</v>
      </c>
      <c r="H45" s="5">
        <f>IFERROR(VLOOKUP(VENTAS[[#This Row],[CODIGO]],INVENTARIO[],7,FALSE),"NO EXISTE")</f>
        <v>1090</v>
      </c>
      <c r="J45" s="4">
        <f>VENTAS[[#This Row],[PRECIO DE VENTA]]*VENTAS[[#This Row],[CANTIDAD]]</f>
        <v>0</v>
      </c>
      <c r="K45" s="4">
        <f>VENTAS[[#This Row],[TOTAL DE LA VENTA]]-VENTAS[[#This Row],[COSTO UNITARIO]]*VENTAS[[#This Row],[CANTIDAD]]</f>
        <v>0</v>
      </c>
    </row>
    <row r="46" spans="1:11" x14ac:dyDescent="0.25">
      <c r="A46" t="s">
        <v>61</v>
      </c>
      <c r="C46" t="str">
        <f>TEXT(VENTAS[[#This Row],[FECHA]],"[$-es-CL]mmmm")</f>
        <v>enero</v>
      </c>
      <c r="D46" t="e" cm="1">
        <f t="array" aca="1" ref="D46" ca="1">YEAR(IF(ISNUMBER(VENTAS[[#This Row],[FECHA]]),VENTAS[[#This Row],[FECHA]],FECHA.VALOR(VENTAS[[#This Row],[FECHA]])))</f>
        <v>#NAME?</v>
      </c>
      <c r="E46" t="str">
        <f>IFERROR(VLOOKUP(VENTAS[[#This Row],[CODIGO]],INVENTARIO[],2,FALSE),"NO EXISTE")</f>
        <v>LIMPIA VIDRIOS DE 500CC</v>
      </c>
      <c r="F46" t="str">
        <f>IFERROR(VLOOKUP(VENTAS[[#This Row],[CODIGO]],INVENTARIO[],3,FALSE),"NO EXISTE")</f>
        <v>COCINA</v>
      </c>
      <c r="G46" s="5">
        <f>IFERROR(VLOOKUP(VENTAS[[#This Row],[CODIGO]],INVENTARIO[],8,FALSE),"NO EXISTE")</f>
        <v>2000</v>
      </c>
      <c r="H46" s="5">
        <f>IFERROR(VLOOKUP(VENTAS[[#This Row],[CODIGO]],INVENTARIO[],7,FALSE),"NO EXISTE")</f>
        <v>900</v>
      </c>
      <c r="J46" s="4">
        <f>VENTAS[[#This Row],[PRECIO DE VENTA]]*VENTAS[[#This Row],[CANTIDAD]]</f>
        <v>0</v>
      </c>
      <c r="K46" s="4">
        <f>VENTAS[[#This Row],[TOTAL DE LA VENTA]]-VENTAS[[#This Row],[COSTO UNITARIO]]*VENTAS[[#This Row],[CANTIDAD]]</f>
        <v>0</v>
      </c>
    </row>
    <row r="47" spans="1:11" x14ac:dyDescent="0.25">
      <c r="A47" t="s">
        <v>62</v>
      </c>
      <c r="C47" t="str">
        <f>TEXT(VENTAS[[#This Row],[FECHA]],"[$-es-CL]mmmm")</f>
        <v>enero</v>
      </c>
      <c r="D47" t="e" cm="1">
        <f t="array" aca="1" ref="D47" ca="1">YEAR(IF(ISNUMBER(VENTAS[[#This Row],[FECHA]]),VENTAS[[#This Row],[FECHA]],FECHA.VALOR(VENTAS[[#This Row],[FECHA]])))</f>
        <v>#NAME?</v>
      </c>
      <c r="E47" t="str">
        <f>IFERROR(VLOOKUP(VENTAS[[#This Row],[CODIGO]],INVENTARIO[],2,FALSE),"NO EXISTE")</f>
        <v>LIMPIA PISOS FLOTANTE</v>
      </c>
      <c r="F47" t="str">
        <f>IFERROR(VLOOKUP(VENTAS[[#This Row],[CODIGO]],INVENTARIO[],3,FALSE),"NO EXISTE")</f>
        <v>COCINA</v>
      </c>
      <c r="G47" s="5">
        <f>IFERROR(VLOOKUP(VENTAS[[#This Row],[CODIGO]],INVENTARIO[],8,FALSE),"NO EXISTE")</f>
        <v>1000</v>
      </c>
      <c r="H47" s="5">
        <f>IFERROR(VLOOKUP(VENTAS[[#This Row],[CODIGO]],INVENTARIO[],7,FALSE),"NO EXISTE")</f>
        <v>625</v>
      </c>
      <c r="J47" s="4">
        <f>VENTAS[[#This Row],[PRECIO DE VENTA]]*VENTAS[[#This Row],[CANTIDAD]]</f>
        <v>0</v>
      </c>
      <c r="K47" s="4">
        <f>VENTAS[[#This Row],[TOTAL DE LA VENTA]]-VENTAS[[#This Row],[COSTO UNITARIO]]*VENTAS[[#This Row],[CANTIDAD]]</f>
        <v>0</v>
      </c>
    </row>
    <row r="48" spans="1:11" x14ac:dyDescent="0.25">
      <c r="A48" t="s">
        <v>67</v>
      </c>
      <c r="C48" t="str">
        <f>TEXT(VENTAS[[#This Row],[FECHA]],"[$-es-CL]mmmm")</f>
        <v>enero</v>
      </c>
      <c r="D48" t="e" cm="1">
        <f t="array" aca="1" ref="D48" ca="1">YEAR(IF(ISNUMBER(VENTAS[[#This Row],[FECHA]]),VENTAS[[#This Row],[FECHA]],FECHA.VALOR(VENTAS[[#This Row],[FECHA]])))</f>
        <v>#NAME?</v>
      </c>
      <c r="E48" t="str">
        <f>IFERROR(VLOOKUP(VENTAS[[#This Row],[CODIGO]],INVENTARIO[],2,FALSE),"NO EXISTE")</f>
        <v xml:space="preserve">VIRUTILLA </v>
      </c>
      <c r="F48" t="str">
        <f>IFERROR(VLOOKUP(VENTAS[[#This Row],[CODIGO]],INVENTARIO[],3,FALSE),"NO EXISTE")</f>
        <v>COCINA</v>
      </c>
      <c r="G48" s="5">
        <f>IFERROR(VLOOKUP(VENTAS[[#This Row],[CODIGO]],INVENTARIO[],8,FALSE),"NO EXISTE")</f>
        <v>1000</v>
      </c>
      <c r="H48" s="5">
        <f>IFERROR(VLOOKUP(VENTAS[[#This Row],[CODIGO]],INVENTARIO[],7,FALSE),"NO EXISTE")</f>
        <v>500</v>
      </c>
      <c r="J48" s="4">
        <f>VENTAS[[#This Row],[PRECIO DE VENTA]]*VENTAS[[#This Row],[CANTIDAD]]</f>
        <v>0</v>
      </c>
      <c r="K48" s="4">
        <f>VENTAS[[#This Row],[TOTAL DE LA VENTA]]-VENTAS[[#This Row],[COSTO UNITARIO]]*VENTAS[[#This Row],[CANTIDAD]]</f>
        <v>0</v>
      </c>
    </row>
    <row r="49" spans="1:11" x14ac:dyDescent="0.25">
      <c r="A49" t="s">
        <v>68</v>
      </c>
      <c r="C49" t="str">
        <f>TEXT(VENTAS[[#This Row],[FECHA]],"[$-es-CL]mmmm")</f>
        <v>enero</v>
      </c>
      <c r="D49" t="e" cm="1">
        <f t="array" aca="1" ref="D49" ca="1">YEAR(IF(ISNUMBER(VENTAS[[#This Row],[FECHA]]),VENTAS[[#This Row],[FECHA]],FECHA.VALOR(VENTAS[[#This Row],[FECHA]])))</f>
        <v>#NAME?</v>
      </c>
      <c r="E49" t="str">
        <f>IFERROR(VLOOKUP(VENTAS[[#This Row],[CODIGO]],INVENTARIO[],2,FALSE),"NO EXISTE")</f>
        <v>LIMPIA PISOS SPUM COLOR ROJO</v>
      </c>
      <c r="F49" t="str">
        <f>IFERROR(VLOOKUP(VENTAS[[#This Row],[CODIGO]],INVENTARIO[],3,FALSE),"NO EXISTE")</f>
        <v>SUPERFICIE</v>
      </c>
      <c r="G49" s="5">
        <f>IFERROR(VLOOKUP(VENTAS[[#This Row],[CODIGO]],INVENTARIO[],8,FALSE),"NO EXISTE")</f>
        <v>2000</v>
      </c>
      <c r="H49" s="5">
        <f>IFERROR(VLOOKUP(VENTAS[[#This Row],[CODIGO]],INVENTARIO[],7,FALSE),"NO EXISTE")</f>
        <v>0</v>
      </c>
      <c r="J49" s="4">
        <f>VENTAS[[#This Row],[PRECIO DE VENTA]]*VENTAS[[#This Row],[CANTIDAD]]</f>
        <v>0</v>
      </c>
      <c r="K49" s="4">
        <f>VENTAS[[#This Row],[TOTAL DE LA VENTA]]-VENTAS[[#This Row],[COSTO UNITARIO]]*VENTAS[[#This Row],[CANTIDAD]]</f>
        <v>0</v>
      </c>
    </row>
    <row r="50" spans="1:11" x14ac:dyDescent="0.25">
      <c r="A50" t="s">
        <v>69</v>
      </c>
      <c r="C50" t="str">
        <f>TEXT(VENTAS[[#This Row],[FECHA]],"[$-es-CL]mmmm")</f>
        <v>enero</v>
      </c>
      <c r="D50" t="e" cm="1">
        <f t="array" aca="1" ref="D50" ca="1">YEAR(IF(ISNUMBER(VENTAS[[#This Row],[FECHA]]),VENTAS[[#This Row],[FECHA]],FECHA.VALOR(VENTAS[[#This Row],[FECHA]])))</f>
        <v>#NAME?</v>
      </c>
      <c r="E50" t="str">
        <f>IFERROR(VLOOKUP(VENTAS[[#This Row],[CODIGO]],INVENTARIO[],2,FALSE),"NO EXISTE")</f>
        <v>LIMPIA PISOS SPUM COLOR AZUL</v>
      </c>
      <c r="F50" t="str">
        <f>IFERROR(VLOOKUP(VENTAS[[#This Row],[CODIGO]],INVENTARIO[],3,FALSE),"NO EXISTE")</f>
        <v>SUPERFICIE</v>
      </c>
      <c r="G50" s="5">
        <f>IFERROR(VLOOKUP(VENTAS[[#This Row],[CODIGO]],INVENTARIO[],8,FALSE),"NO EXISTE")</f>
        <v>2000</v>
      </c>
      <c r="H50" s="5">
        <f>IFERROR(VLOOKUP(VENTAS[[#This Row],[CODIGO]],INVENTARIO[],7,FALSE),"NO EXISTE")</f>
        <v>0</v>
      </c>
      <c r="J50" s="4">
        <f>VENTAS[[#This Row],[PRECIO DE VENTA]]*VENTAS[[#This Row],[CANTIDAD]]</f>
        <v>0</v>
      </c>
      <c r="K50" s="4">
        <f>VENTAS[[#This Row],[TOTAL DE LA VENTA]]-VENTAS[[#This Row],[COSTO UNITARIO]]*VENTAS[[#This Row],[CANTIDAD]]</f>
        <v>0</v>
      </c>
    </row>
    <row r="51" spans="1:11" x14ac:dyDescent="0.25">
      <c r="A51" t="s">
        <v>70</v>
      </c>
      <c r="C51" t="str">
        <f>TEXT(VENTAS[[#This Row],[FECHA]],"[$-es-CL]mmmm")</f>
        <v>enero</v>
      </c>
      <c r="D51" t="e" cm="1">
        <f t="array" aca="1" ref="D51" ca="1">YEAR(IF(ISNUMBER(VENTAS[[#This Row],[FECHA]]),VENTAS[[#This Row],[FECHA]],FECHA.VALOR(VENTAS[[#This Row],[FECHA]])))</f>
        <v>#NAME?</v>
      </c>
      <c r="E51" t="str">
        <f>IFERROR(VLOOKUP(VENTAS[[#This Row],[CODIGO]],INVENTARIO[],2,FALSE),"NO EXISTE")</f>
        <v>LIMPIA PISOS BRILLEX  AMARILLO</v>
      </c>
      <c r="F51" t="str">
        <f>IFERROR(VLOOKUP(VENTAS[[#This Row],[CODIGO]],INVENTARIO[],3,FALSE),"NO EXISTE")</f>
        <v>SUPERFICIE</v>
      </c>
      <c r="G51" s="5">
        <f>IFERROR(VLOOKUP(VENTAS[[#This Row],[CODIGO]],INVENTARIO[],8,FALSE),"NO EXISTE")</f>
        <v>1000</v>
      </c>
      <c r="H51" s="5">
        <f>IFERROR(VLOOKUP(VENTAS[[#This Row],[CODIGO]],INVENTARIO[],7,FALSE),"NO EXISTE")</f>
        <v>698</v>
      </c>
      <c r="J51" s="4">
        <f>VENTAS[[#This Row],[PRECIO DE VENTA]]*VENTAS[[#This Row],[CANTIDAD]]</f>
        <v>0</v>
      </c>
      <c r="K51" s="4">
        <f>VENTAS[[#This Row],[TOTAL DE LA VENTA]]-VENTAS[[#This Row],[COSTO UNITARIO]]*VENTAS[[#This Row],[CANTIDAD]]</f>
        <v>0</v>
      </c>
    </row>
    <row r="52" spans="1:11" x14ac:dyDescent="0.25">
      <c r="A52" t="s">
        <v>71</v>
      </c>
      <c r="C52" t="str">
        <f>TEXT(VENTAS[[#This Row],[FECHA]],"[$-es-CL]mmmm")</f>
        <v>enero</v>
      </c>
      <c r="D52" t="e" cm="1">
        <f t="array" aca="1" ref="D52" ca="1">YEAR(IF(ISNUMBER(VENTAS[[#This Row],[FECHA]]),VENTAS[[#This Row],[FECHA]],FECHA.VALOR(VENTAS[[#This Row],[FECHA]])))</f>
        <v>#NAME?</v>
      </c>
      <c r="E52" t="str">
        <f>IFERROR(VLOOKUP(VENTAS[[#This Row],[CODIGO]],INVENTARIO[],2,FALSE),"NO EXISTE")</f>
        <v>LIMPIA PISOS AROMAX AZUL</v>
      </c>
      <c r="F52" t="str">
        <f>IFERROR(VLOOKUP(VENTAS[[#This Row],[CODIGO]],INVENTARIO[],3,FALSE),"NO EXISTE")</f>
        <v>SUPERFICIE</v>
      </c>
      <c r="G52" s="5">
        <f>IFERROR(VLOOKUP(VENTAS[[#This Row],[CODIGO]],INVENTARIO[],8,FALSE),"NO EXISTE")</f>
        <v>1000</v>
      </c>
      <c r="H52" s="5">
        <f>IFERROR(VLOOKUP(VENTAS[[#This Row],[CODIGO]],INVENTARIO[],7,FALSE),"NO EXISTE")</f>
        <v>382</v>
      </c>
      <c r="J52" s="4">
        <f>VENTAS[[#This Row],[PRECIO DE VENTA]]*VENTAS[[#This Row],[CANTIDAD]]</f>
        <v>0</v>
      </c>
      <c r="K52" s="4">
        <f>VENTAS[[#This Row],[TOTAL DE LA VENTA]]-VENTAS[[#This Row],[COSTO UNITARIO]]*VENTAS[[#This Row],[CANTIDAD]]</f>
        <v>0</v>
      </c>
    </row>
    <row r="53" spans="1:11" x14ac:dyDescent="0.25">
      <c r="A53" t="s">
        <v>72</v>
      </c>
      <c r="C53" t="str">
        <f>TEXT(VENTAS[[#This Row],[FECHA]],"[$-es-CL]mmmm")</f>
        <v>enero</v>
      </c>
      <c r="D53" t="e" cm="1">
        <f t="array" aca="1" ref="D53" ca="1">YEAR(IF(ISNUMBER(VENTAS[[#This Row],[FECHA]]),VENTAS[[#This Row],[FECHA]],FECHA.VALOR(VENTAS[[#This Row],[FECHA]])))</f>
        <v>#NAME?</v>
      </c>
      <c r="E53" t="str">
        <f>IFERROR(VLOOKUP(VENTAS[[#This Row],[CODIGO]],INVENTARIO[],2,FALSE),"NO EXISTE")</f>
        <v>LIMPIA PISOS AROMAX ROSADO</v>
      </c>
      <c r="F53" t="str">
        <f>IFERROR(VLOOKUP(VENTAS[[#This Row],[CODIGO]],INVENTARIO[],3,FALSE),"NO EXISTE")</f>
        <v>SUPERFICIE</v>
      </c>
      <c r="G53" s="5">
        <f>IFERROR(VLOOKUP(VENTAS[[#This Row],[CODIGO]],INVENTARIO[],8,FALSE),"NO EXISTE")</f>
        <v>1000</v>
      </c>
      <c r="H53" s="5">
        <f>IFERROR(VLOOKUP(VENTAS[[#This Row],[CODIGO]],INVENTARIO[],7,FALSE),"NO EXISTE")</f>
        <v>382</v>
      </c>
      <c r="J53" s="4">
        <f>VENTAS[[#This Row],[PRECIO DE VENTA]]*VENTAS[[#This Row],[CANTIDAD]]</f>
        <v>0</v>
      </c>
      <c r="K53" s="4">
        <f>VENTAS[[#This Row],[TOTAL DE LA VENTA]]-VENTAS[[#This Row],[COSTO UNITARIO]]*VENTAS[[#This Row],[CANTIDAD]]</f>
        <v>0</v>
      </c>
    </row>
    <row r="54" spans="1:11" x14ac:dyDescent="0.25">
      <c r="A54" t="s">
        <v>73</v>
      </c>
      <c r="C54" t="str">
        <f>TEXT(VENTAS[[#This Row],[FECHA]],"[$-es-CL]mmmm")</f>
        <v>enero</v>
      </c>
      <c r="D54" t="e" cm="1">
        <f t="array" aca="1" ref="D54" ca="1">YEAR(IF(ISNUMBER(VENTAS[[#This Row],[FECHA]]),VENTAS[[#This Row],[FECHA]],FECHA.VALOR(VENTAS[[#This Row],[FECHA]])))</f>
        <v>#NAME?</v>
      </c>
      <c r="E54" t="str">
        <f>IFERROR(VLOOKUP(VENTAS[[#This Row],[CODIGO]],INVENTARIO[],2,FALSE),"NO EXISTE")</f>
        <v>LIMPIA PISOS AROMAX MORADO</v>
      </c>
      <c r="F54" t="str">
        <f>IFERROR(VLOOKUP(VENTAS[[#This Row],[CODIGO]],INVENTARIO[],3,FALSE),"NO EXISTE")</f>
        <v>SUPERFICIE</v>
      </c>
      <c r="G54" s="5">
        <f>IFERROR(VLOOKUP(VENTAS[[#This Row],[CODIGO]],INVENTARIO[],8,FALSE),"NO EXISTE")</f>
        <v>1000</v>
      </c>
      <c r="H54" s="5">
        <f>IFERROR(VLOOKUP(VENTAS[[#This Row],[CODIGO]],INVENTARIO[],7,FALSE),"NO EXISTE")</f>
        <v>382</v>
      </c>
      <c r="J54" s="4">
        <f>VENTAS[[#This Row],[PRECIO DE VENTA]]*VENTAS[[#This Row],[CANTIDAD]]</f>
        <v>0</v>
      </c>
      <c r="K54" s="4">
        <f>VENTAS[[#This Row],[TOTAL DE LA VENTA]]-VENTAS[[#This Row],[COSTO UNITARIO]]*VENTAS[[#This Row],[CANTIDAD]]</f>
        <v>0</v>
      </c>
    </row>
    <row r="55" spans="1:11" x14ac:dyDescent="0.25">
      <c r="A55" t="s">
        <v>74</v>
      </c>
      <c r="C55" t="str">
        <f>TEXT(VENTAS[[#This Row],[FECHA]],"[$-es-CL]mmmm")</f>
        <v>enero</v>
      </c>
      <c r="D55" t="e" cm="1">
        <f t="array" aca="1" ref="D55" ca="1">YEAR(IF(ISNUMBER(VENTAS[[#This Row],[FECHA]]),VENTAS[[#This Row],[FECHA]],FECHA.VALOR(VENTAS[[#This Row],[FECHA]])))</f>
        <v>#NAME?</v>
      </c>
      <c r="E55" t="str">
        <f>IFERROR(VLOOKUP(VENTAS[[#This Row],[CODIGO]],INVENTARIO[],2,FALSE),"NO EXISTE")</f>
        <v>LIMPIA PISOS POETT ROSADO</v>
      </c>
      <c r="F55" t="str">
        <f>IFERROR(VLOOKUP(VENTAS[[#This Row],[CODIGO]],INVENTARIO[],3,FALSE),"NO EXISTE")</f>
        <v>SUPERFICIE</v>
      </c>
      <c r="G55" s="5">
        <f>IFERROR(VLOOKUP(VENTAS[[#This Row],[CODIGO]],INVENTARIO[],8,FALSE),"NO EXISTE")</f>
        <v>1600</v>
      </c>
      <c r="H55" s="5">
        <f>IFERROR(VLOOKUP(VENTAS[[#This Row],[CODIGO]],INVENTARIO[],7,FALSE),"NO EXISTE")</f>
        <v>1010</v>
      </c>
      <c r="J55" s="4">
        <f>VENTAS[[#This Row],[PRECIO DE VENTA]]*VENTAS[[#This Row],[CANTIDAD]]</f>
        <v>0</v>
      </c>
      <c r="K55" s="4">
        <f>VENTAS[[#This Row],[TOTAL DE LA VENTA]]-VENTAS[[#This Row],[COSTO UNITARIO]]*VENTAS[[#This Row],[CANTIDAD]]</f>
        <v>0</v>
      </c>
    </row>
    <row r="56" spans="1:11" x14ac:dyDescent="0.25">
      <c r="A56" t="s">
        <v>75</v>
      </c>
      <c r="C56" t="str">
        <f>TEXT(VENTAS[[#This Row],[FECHA]],"[$-es-CL]mmmm")</f>
        <v>enero</v>
      </c>
      <c r="D56" t="e" cm="1">
        <f t="array" aca="1" ref="D56" ca="1">YEAR(IF(ISNUMBER(VENTAS[[#This Row],[FECHA]]),VENTAS[[#This Row],[FECHA]],FECHA.VALOR(VENTAS[[#This Row],[FECHA]])))</f>
        <v>#NAME?</v>
      </c>
      <c r="E56" t="str">
        <f>IFERROR(VLOOKUP(VENTAS[[#This Row],[CODIGO]],INVENTARIO[],2,FALSE),"NO EXISTE")</f>
        <v>LIMPIA PISOS POETT MORADO OSCURO</v>
      </c>
      <c r="F56" t="str">
        <f>IFERROR(VLOOKUP(VENTAS[[#This Row],[CODIGO]],INVENTARIO[],3,FALSE),"NO EXISTE")</f>
        <v>SUPERFICIE</v>
      </c>
      <c r="G56" s="5">
        <f>IFERROR(VLOOKUP(VENTAS[[#This Row],[CODIGO]],INVENTARIO[],8,FALSE),"NO EXISTE")</f>
        <v>1600</v>
      </c>
      <c r="H56" s="5">
        <f>IFERROR(VLOOKUP(VENTAS[[#This Row],[CODIGO]],INVENTARIO[],7,FALSE),"NO EXISTE")</f>
        <v>1010</v>
      </c>
      <c r="J56" s="4">
        <f>VENTAS[[#This Row],[PRECIO DE VENTA]]*VENTAS[[#This Row],[CANTIDAD]]</f>
        <v>0</v>
      </c>
      <c r="K56" s="4">
        <f>VENTAS[[#This Row],[TOTAL DE LA VENTA]]-VENTAS[[#This Row],[COSTO UNITARIO]]*VENTAS[[#This Row],[CANTIDAD]]</f>
        <v>0</v>
      </c>
    </row>
    <row r="57" spans="1:11" x14ac:dyDescent="0.25">
      <c r="A57" t="s">
        <v>85</v>
      </c>
      <c r="C57" t="str">
        <f>TEXT(VENTAS[[#This Row],[FECHA]],"[$-es-CL]mmmm")</f>
        <v>enero</v>
      </c>
      <c r="D57" t="e" cm="1">
        <f t="array" aca="1" ref="D57" ca="1">YEAR(IF(ISNUMBER(VENTAS[[#This Row],[FECHA]]),VENTAS[[#This Row],[FECHA]],FECHA.VALOR(VENTAS[[#This Row],[FECHA]])))</f>
        <v>#NAME?</v>
      </c>
      <c r="E57" t="str">
        <f>IFERROR(VLOOKUP(VENTAS[[#This Row],[CODIGO]],INVENTARIO[],2,FALSE),"NO EXISTE")</f>
        <v>ESCOBILLON</v>
      </c>
      <c r="F57" t="str">
        <f>IFERROR(VLOOKUP(VENTAS[[#This Row],[CODIGO]],INVENTARIO[],3,FALSE),"NO EXISTE")</f>
        <v>SUPERFICIE</v>
      </c>
      <c r="G57" s="5">
        <f>IFERROR(VLOOKUP(VENTAS[[#This Row],[CODIGO]],INVENTARIO[],8,FALSE),"NO EXISTE")</f>
        <v>1200</v>
      </c>
      <c r="H57" s="5">
        <f>IFERROR(VLOOKUP(VENTAS[[#This Row],[CODIGO]],INVENTARIO[],7,FALSE),"NO EXISTE")</f>
        <v>781</v>
      </c>
      <c r="J57" s="4">
        <f>VENTAS[[#This Row],[PRECIO DE VENTA]]*VENTAS[[#This Row],[CANTIDAD]]</f>
        <v>0</v>
      </c>
      <c r="K57" s="4">
        <f>VENTAS[[#This Row],[TOTAL DE LA VENTA]]-VENTAS[[#This Row],[COSTO UNITARIO]]*VENTAS[[#This Row],[CANTIDAD]]</f>
        <v>0</v>
      </c>
    </row>
    <row r="58" spans="1:11" x14ac:dyDescent="0.25">
      <c r="A58" t="s">
        <v>86</v>
      </c>
      <c r="C58" t="str">
        <f>TEXT(VENTAS[[#This Row],[FECHA]],"[$-es-CL]mmmm")</f>
        <v>enero</v>
      </c>
      <c r="D58" t="e" cm="1">
        <f t="array" aca="1" ref="D58" ca="1">YEAR(IF(ISNUMBER(VENTAS[[#This Row],[FECHA]]),VENTAS[[#This Row],[FECHA]],FECHA.VALOR(VENTAS[[#This Row],[FECHA]])))</f>
        <v>#NAME?</v>
      </c>
      <c r="E58" t="str">
        <f>IFERROR(VLOOKUP(VENTAS[[#This Row],[CODIGO]],INVENTARIO[],2,FALSE),"NO EXISTE")</f>
        <v>LIMPIA PISOS POETT MORADO CLARO</v>
      </c>
      <c r="F58" t="str">
        <f>IFERROR(VLOOKUP(VENTAS[[#This Row],[CODIGO]],INVENTARIO[],3,FALSE),"NO EXISTE")</f>
        <v>SUPERFICIE</v>
      </c>
      <c r="G58" s="5">
        <f>IFERROR(VLOOKUP(VENTAS[[#This Row],[CODIGO]],INVENTARIO[],8,FALSE),"NO EXISTE")</f>
        <v>1600</v>
      </c>
      <c r="H58" s="5">
        <f>IFERROR(VLOOKUP(VENTAS[[#This Row],[CODIGO]],INVENTARIO[],7,FALSE),"NO EXISTE")</f>
        <v>1010</v>
      </c>
      <c r="J58" s="4">
        <f>VENTAS[[#This Row],[PRECIO DE VENTA]]*VENTAS[[#This Row],[CANTIDAD]]</f>
        <v>0</v>
      </c>
      <c r="K58" s="4">
        <f>VENTAS[[#This Row],[TOTAL DE LA VENTA]]-VENTAS[[#This Row],[COSTO UNITARIO]]*VENTAS[[#This Row],[CANTIDAD]]</f>
        <v>0</v>
      </c>
    </row>
    <row r="59" spans="1:11" x14ac:dyDescent="0.25">
      <c r="A59" t="s">
        <v>87</v>
      </c>
      <c r="C59" t="str">
        <f>TEXT(VENTAS[[#This Row],[FECHA]],"[$-es-CL]mmmm")</f>
        <v>enero</v>
      </c>
      <c r="D59" t="e" cm="1">
        <f t="array" aca="1" ref="D59" ca="1">YEAR(IF(ISNUMBER(VENTAS[[#This Row],[FECHA]]),VENTAS[[#This Row],[FECHA]],FECHA.VALOR(VENTAS[[#This Row],[FECHA]])))</f>
        <v>#NAME?</v>
      </c>
      <c r="E59" t="str">
        <f>IFERROR(VLOOKUP(VENTAS[[#This Row],[CODIGO]],INVENTARIO[],2,FALSE),"NO EXISTE")</f>
        <v>LIMPIA PISOS POETT AZUL</v>
      </c>
      <c r="F59" t="str">
        <f>IFERROR(VLOOKUP(VENTAS[[#This Row],[CODIGO]],INVENTARIO[],3,FALSE),"NO EXISTE")</f>
        <v>SUPERFICIE</v>
      </c>
      <c r="G59" s="5">
        <f>IFERROR(VLOOKUP(VENTAS[[#This Row],[CODIGO]],INVENTARIO[],8,FALSE),"NO EXISTE")</f>
        <v>1600</v>
      </c>
      <c r="H59" s="5">
        <f>IFERROR(VLOOKUP(VENTAS[[#This Row],[CODIGO]],INVENTARIO[],7,FALSE),"NO EXISTE")</f>
        <v>1010</v>
      </c>
      <c r="J59" s="4">
        <f>VENTAS[[#This Row],[PRECIO DE VENTA]]*VENTAS[[#This Row],[CANTIDAD]]</f>
        <v>0</v>
      </c>
      <c r="K59" s="4">
        <f>VENTAS[[#This Row],[TOTAL DE LA VENTA]]-VENTAS[[#This Row],[COSTO UNITARIO]]*VENTAS[[#This Row],[CANTIDAD]]</f>
        <v>0</v>
      </c>
    </row>
    <row r="60" spans="1:11" x14ac:dyDescent="0.25">
      <c r="A60" t="s">
        <v>88</v>
      </c>
      <c r="C60" t="str">
        <f>TEXT(VENTAS[[#This Row],[FECHA]],"[$-es-CL]mmmm")</f>
        <v>enero</v>
      </c>
      <c r="D60" t="e" cm="1">
        <f t="array" aca="1" ref="D60" ca="1">YEAR(IF(ISNUMBER(VENTAS[[#This Row],[FECHA]]),VENTAS[[#This Row],[FECHA]],FECHA.VALOR(VENTAS[[#This Row],[FECHA]])))</f>
        <v>#NAME?</v>
      </c>
      <c r="E60" t="str">
        <f>IFERROR(VLOOKUP(VENTAS[[#This Row],[CODIGO]],INVENTARIO[],2,FALSE),"NO EXISTE")</f>
        <v>CERA DE 1 LITRO</v>
      </c>
      <c r="F60" t="str">
        <f>IFERROR(VLOOKUP(VENTAS[[#This Row],[CODIGO]],INVENTARIO[],3,FALSE),"NO EXISTE")</f>
        <v>SUPERFICIE</v>
      </c>
      <c r="G60" s="5">
        <f>IFERROR(VLOOKUP(VENTAS[[#This Row],[CODIGO]],INVENTARIO[],8,FALSE),"NO EXISTE")</f>
        <v>1400</v>
      </c>
      <c r="H60" s="5">
        <f>IFERROR(VLOOKUP(VENTAS[[#This Row],[CODIGO]],INVENTARIO[],7,FALSE),"NO EXISTE")</f>
        <v>749</v>
      </c>
      <c r="J60" s="4">
        <f>VENTAS[[#This Row],[PRECIO DE VENTA]]*VENTAS[[#This Row],[CANTIDAD]]</f>
        <v>0</v>
      </c>
      <c r="K60" s="4">
        <f>VENTAS[[#This Row],[TOTAL DE LA VENTA]]-VENTAS[[#This Row],[COSTO UNITARIO]]*VENTAS[[#This Row],[CANTIDAD]]</f>
        <v>0</v>
      </c>
    </row>
    <row r="61" spans="1:11" x14ac:dyDescent="0.25">
      <c r="A61" t="s">
        <v>89</v>
      </c>
      <c r="C61" t="str">
        <f>TEXT(VENTAS[[#This Row],[FECHA]],"[$-es-CL]mmmm")</f>
        <v>enero</v>
      </c>
      <c r="D61" t="e" cm="1">
        <f t="array" aca="1" ref="D61" ca="1">YEAR(IF(ISNUMBER(VENTAS[[#This Row],[FECHA]]),VENTAS[[#This Row],[FECHA]],FECHA.VALOR(VENTAS[[#This Row],[FECHA]])))</f>
        <v>#NAME?</v>
      </c>
      <c r="E61" t="str">
        <f>IFERROR(VLOOKUP(VENTAS[[#This Row],[CODIGO]],INVENTARIO[],2,FALSE),"NO EXISTE")</f>
        <v>CERA DE 2 LITROS</v>
      </c>
      <c r="F61" t="str">
        <f>IFERROR(VLOOKUP(VENTAS[[#This Row],[CODIGO]],INVENTARIO[],3,FALSE),"NO EXISTE")</f>
        <v>SUPERFICIE</v>
      </c>
      <c r="G61" s="5">
        <f>IFERROR(VLOOKUP(VENTAS[[#This Row],[CODIGO]],INVENTARIO[],8,FALSE),"NO EXISTE")</f>
        <v>2300</v>
      </c>
      <c r="H61" s="5">
        <f>IFERROR(VLOOKUP(VENTAS[[#This Row],[CODIGO]],INVENTARIO[],7,FALSE),"NO EXISTE")</f>
        <v>1299</v>
      </c>
      <c r="J61" s="4">
        <f>VENTAS[[#This Row],[PRECIO DE VENTA]]*VENTAS[[#This Row],[CANTIDAD]]</f>
        <v>0</v>
      </c>
      <c r="K61" s="4">
        <f>VENTAS[[#This Row],[TOTAL DE LA VENTA]]-VENTAS[[#This Row],[COSTO UNITARIO]]*VENTAS[[#This Row],[CANTIDAD]]</f>
        <v>0</v>
      </c>
    </row>
    <row r="62" spans="1:11" x14ac:dyDescent="0.25">
      <c r="A62" t="s">
        <v>105</v>
      </c>
      <c r="C62" t="str">
        <f>TEXT(VENTAS[[#This Row],[FECHA]],"[$-es-CL]mmmm")</f>
        <v>enero</v>
      </c>
      <c r="D62" t="e" cm="1">
        <f t="array" aca="1" ref="D62" ca="1">YEAR(IF(ISNUMBER(VENTAS[[#This Row],[FECHA]]),VENTAS[[#This Row],[FECHA]],FECHA.VALOR(VENTAS[[#This Row],[FECHA]])))</f>
        <v>#NAME?</v>
      </c>
      <c r="E62" t="str">
        <f>IFERROR(VLOOKUP(VENTAS[[#This Row],[CODIGO]],INVENTARIO[],2,FALSE),"NO EXISTE")</f>
        <v>PASTILLAS DE CLORO CHICAS PARA BAÑO</v>
      </c>
      <c r="F62" t="str">
        <f>IFERROR(VLOOKUP(VENTAS[[#This Row],[CODIGO]],INVENTARIO[],3,FALSE),"NO EXISTE")</f>
        <v>SUPERFICIE</v>
      </c>
      <c r="G62" s="5">
        <f>IFERROR(VLOOKUP(VENTAS[[#This Row],[CODIGO]],INVENTARIO[],8,FALSE),"NO EXISTE")</f>
        <v>1000</v>
      </c>
      <c r="H62" s="5">
        <f>IFERROR(VLOOKUP(VENTAS[[#This Row],[CODIGO]],INVENTARIO[],7,FALSE),"NO EXISTE")</f>
        <v>70</v>
      </c>
      <c r="J62" s="4">
        <f>VENTAS[[#This Row],[PRECIO DE VENTA]]*VENTAS[[#This Row],[CANTIDAD]]</f>
        <v>0</v>
      </c>
      <c r="K62" s="4">
        <f>VENTAS[[#This Row],[TOTAL DE LA VENTA]]-VENTAS[[#This Row],[COSTO UNITARIO]]*VENTAS[[#This Row],[CANTIDAD]]</f>
        <v>0</v>
      </c>
    </row>
    <row r="63" spans="1:11" x14ac:dyDescent="0.25">
      <c r="A63" t="s">
        <v>124</v>
      </c>
      <c r="C63" t="str">
        <f>TEXT(VENTAS[[#This Row],[FECHA]],"[$-es-CL]mmmm")</f>
        <v>enero</v>
      </c>
      <c r="D63" t="e" cm="1">
        <f t="array" aca="1" ref="D63" ca="1">YEAR(IF(ISNUMBER(VENTAS[[#This Row],[FECHA]]),VENTAS[[#This Row],[FECHA]],FECHA.VALOR(VENTAS[[#This Row],[FECHA]])))</f>
        <v>#NAME?</v>
      </c>
      <c r="E63" t="str">
        <f>IFERROR(VLOOKUP(VENTAS[[#This Row],[CODIGO]],INVENTARIO[],2,FALSE),"NO EXISTE")</f>
        <v>TOALLITAS DESINFECTANTE IGENIX</v>
      </c>
      <c r="F63" t="str">
        <f>IFERROR(VLOOKUP(VENTAS[[#This Row],[CODIGO]],INVENTARIO[],3,FALSE),"NO EXISTE")</f>
        <v>SUPERFICIE</v>
      </c>
      <c r="G63" s="5">
        <f>IFERROR(VLOOKUP(VENTAS[[#This Row],[CODIGO]],INVENTARIO[],8,FALSE),"NO EXISTE")</f>
        <v>2500</v>
      </c>
      <c r="H63" s="5">
        <f>IFERROR(VLOOKUP(VENTAS[[#This Row],[CODIGO]],INVENTARIO[],7,FALSE),"NO EXISTE")</f>
        <v>0</v>
      </c>
      <c r="J63" s="4">
        <f>VENTAS[[#This Row],[PRECIO DE VENTA]]*VENTAS[[#This Row],[CANTIDAD]]</f>
        <v>0</v>
      </c>
      <c r="K63" s="4">
        <f>VENTAS[[#This Row],[TOTAL DE LA VENTA]]-VENTAS[[#This Row],[COSTO UNITARIO]]*VENTAS[[#This Row],[CANTIDAD]]</f>
        <v>0</v>
      </c>
    </row>
  </sheetData>
  <mergeCells count="1">
    <mergeCell ref="A1:K3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DE DATOS DE PRODUCTOS</vt:lpstr>
      <vt:lpstr>Hoja1</vt:lpstr>
      <vt:lpstr>PARAMETROS</vt:lpstr>
      <vt:lpstr>INVENTARIO</vt:lpstr>
      <vt:lpstr>COMPRAS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</dc:creator>
  <cp:lastModifiedBy>Karla Elizabeth Astroza Fuentes</cp:lastModifiedBy>
  <dcterms:created xsi:type="dcterms:W3CDTF">2025-10-23T03:20:01Z</dcterms:created>
  <dcterms:modified xsi:type="dcterms:W3CDTF">2025-12-14T15:46:46Z</dcterms:modified>
</cp:coreProperties>
</file>